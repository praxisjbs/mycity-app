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4.xml" ContentType="application/vnd.openxmlformats-officedocument.spreadsheetml.comments+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2" name="Company OKRs" state="visible" r:id="rId4"/>
    <sheet sheetId="4" name="Technology &amp; Back-office Ops" state="visible" r:id="rId5"/>
    <sheet sheetId="5" name="Branding &amp; Marketing" state="visible" r:id="rId6"/>
    <sheet sheetId="6" name="Partnership &amp; Growth" state="visible" r:id="rId7"/>
    <sheet sheetId="7" name="People &amp; Culture" state="visible" r:id="rId8"/>
    <sheet sheetId="10" name="Changes vs Revised Draft" state="visible" r:id="rId9"/>
  </sheets>
  <calcPr calcId="171027"/>
</workbook>
</file>

<file path=xl/comments4.xml><?xml version="1.0" encoding="utf-8"?>
<comments xmlns="http://schemas.openxmlformats.org/spreadsheetml/2006/main">
  <authors>
    <author>Author</author>
  </authors>
  <commentList>
    <comment ref="B11" authorId="0">
      <text/>
    </comment>
  </commentList>
</comments>
</file>

<file path=xl/comments5.xml><?xml version="1.0" encoding="utf-8"?>
<comments xmlns="http://schemas.openxmlformats.org/spreadsheetml/2006/main">
  <authors>
    <author>Author</author>
  </authors>
  <commentList>
    <comment ref="D18" authorId="0">
      <text/>
    </comment>
  </commentList>
</comments>
</file>

<file path=xl/sharedStrings.xml><?xml version="1.0" encoding="utf-8"?>
<sst xmlns="http://schemas.openxmlformats.org/spreadsheetml/2006/main" count="1128" uniqueCount="707">
  <si>
    <t>Company OKRs</t>
  </si>
  <si>
    <t>MyCityApp and MyLagosApp · Q4 2026 (Oct–Dec) · Foundation draft for review</t>
  </si>
  <si>
    <t>Each key result states what must be true at its finish date. [TBC] marks a provisional target, locked by 7 November from the verified baseline (CO-KR1.1). Accountable owners report in the columns to the right; a KR with a Scored from entry takes its figures from that function KR.</t>
  </si>
  <si>
    <t>Latest — updated at each monthly report</t>
  </si>
  <si>
    <t>Score by month</t>
  </si>
  <si>
    <t>KR ID</t>
  </si>
  <si>
    <t>Key result</t>
  </si>
  <si>
    <t>Type</t>
  </si>
  <si>
    <t>Accountable</t>
  </si>
  <si>
    <t>Contributing function KRs</t>
  </si>
  <si>
    <t>Baseline / target status</t>
  </si>
  <si>
    <t>Start</t>
  </si>
  <si>
    <t>Finish</t>
  </si>
  <si>
    <t>Initiatives (date)</t>
  </si>
  <si>
    <t>Scored from</t>
  </si>
  <si>
    <t>Status</t>
  </si>
  <si>
    <t>Actual</t>
  </si>
  <si>
    <t>Update</t>
  </si>
  <si>
    <t>October</t>
  </si>
  <si>
    <t>November</t>
  </si>
  <si>
    <t>December · Q4 final</t>
  </si>
  <si>
    <t>CO-O1   Build one trusted view of company performance.</t>
  </si>
  <si>
    <t>CO-KR1.1</t>
  </si>
  <si>
    <t>One verified opening baseline is signed off by the CEO and the finance owner by 31 October. It covers, per app: verified downloads (Play Console and App Store Connect, not store bands), monthly active users, completed transactions by type, paid-ticket value, and revenue by stream for January–September.</t>
  </si>
  <si>
    <t>Diagnostic gate — retires on sign-off</t>
  </si>
  <si>
    <t>CEO with interim finance owner</t>
  </si>
  <si>
    <t>TBO-KR2.3</t>
  </si>
  <si>
    <t>Figures conflict today: store bands show 100K+ and 10K+ downloads, the CEO cited about 17K, and the dashboard is disputed.</t>
  </si>
  <si>
    <t xml:space="preserve">• Pull downloads from Play Console and App Store Connect for all three apps — 10 Oct
• Pull provider and settlement records for bills, tickets and wallet — 17 Oct
• Reconcile revenue by stream to bank and invoice records — finance owner, 24 Oct
• Lock all [TBC] targets from the signed baseline — CEO, 7 Nov</t>
  </si>
  <si>
    <t>CO-KR1.2</t>
  </si>
  <si>
    <t>A product analytics tool is contracted by 15 October and records install, first qualifying action, ticket purchase, bill and LASG payment, business contact and booking request in both apps by 15 November. The November report reconciles to provider and settlement records within 2%.</t>
  </si>
  <si>
    <t>Visibility gate — retires when two consecutive monthly reports reconcile</t>
  </si>
  <si>
    <t>Technology &amp; Back-office Ops</t>
  </si>
  <si>
    <t>No analytics tool in use (no Mixpanel, Amplitude or equivalent). Interim: backend and provider records.</t>
  </si>
  <si>
    <t>See TBO-KR2.3</t>
  </si>
  <si>
    <t>CO-O2   Make every customer journey work reliably.</t>
  </si>
  <si>
    <t>CO-KR2.1</t>
  </si>
  <si>
    <t>At least 95% of valid bill-payment and LASG-payment attempts complete successfully in December, in each app.</t>
  </si>
  <si>
    <t>Outcome</t>
  </si>
  <si>
    <t>TBO-KR1.1; TBO-KR2.2</t>
  </si>
  <si>
    <t>Baseline [TBC] from CO-KR1.1. Bill payments are reported as unstable.</t>
  </si>
  <si>
    <t>See TBO-KR1.1 and TBO-KR2.2</t>
  </si>
  <si>
    <t>CO-KR2.2</t>
  </si>
  <si>
    <t>At least 97% of valid ticket-purchase attempts in December result in a valid ticket, with zero duplicate charges and zero oversold events.</t>
  </si>
  <si>
    <t>TBO-KR1.2; TBO-KR2.2</t>
  </si>
  <si>
    <t>Baseline [TBC]</t>
  </si>
  <si>
    <t>See TBO-KR1.2</t>
  </si>
  <si>
    <t>TBO-KR1.2</t>
  </si>
  <si>
    <t>CO-KR2.3</t>
  </si>
  <si>
    <t>A staffed customer-support service with a named owner, published channels and a case log is live by 15 November. It resolves at least 85% of December cases within 48 hours.</t>
  </si>
  <si>
    <t>Enabling → Outcome</t>
  </si>
  <si>
    <t>TBO-KR1.3; PC-KR2.2</t>
  </si>
  <si>
    <t>No support service exists</t>
  </si>
  <si>
    <t>See TBO-KR1.3 and PC-KR2.2</t>
  </si>
  <si>
    <t>TBO-KR1.3</t>
  </si>
  <si>
    <t>CO-KR2.4</t>
  </si>
  <si>
    <t>All Q4 P0 capabilities are live in MyLagosApp and MyCityApp by 30 November: restaurant booking, in-restaurant payment, hotel and shortlet booking, the UI/UX redesign of both apps, and the BlueSalt API v2 upgrade. The P1 capabilities (merchant payment for other merchants, including payment in-store, and FAAN airport taxi booking) are live by 30 November, or the CEO re-dates them by 15 November.</t>
  </si>
  <si>
    <t>Output — enabling; retires on release</t>
  </si>
  <si>
    <t>TBO-KR2.1; PG-KR1.3</t>
  </si>
  <si>
    <t>CEO priorities, 30 Sep; restaurant scope confirmed 7 Oct. On 4 Oct merchant payment and FAAN taxi were at ideation.</t>
  </si>
  <si>
    <t xml:space="preserve">• CEO-approved roadmap sequencing every item with an MTNN delivery month and an acceptance owner, including automatic event expiry, bulk listing upload, the merchant collection web app and in-app business wallet visibility; Flex wallet paused, wallet stays on Sterling Embedly — CEO, 15 Oct
• See TBO-KR2.1</t>
  </si>
  <si>
    <t>CO-O3   Make MyCityApp the go-to app for December in Nigeria's major cities.</t>
  </si>
  <si>
    <t>CO-KR3.1</t>
  </si>
  <si>
    <t>₦250 million in paid-ticket value is processed in Q4, net of cancellations and refunds, across at least 200 ticketed events. At least 25 December events sell tickets through the apps on exclusive terms: an allocation, price or access benefit not offered on other ticketing platforms.</t>
  </si>
  <si>
    <t>Partnership &amp; Growth</t>
  </si>
  <si>
    <t>TBO-KR3.2; BM-KR2.1; BM-KR2.3; PG-KR1.1; PG-KR2.3</t>
  </si>
  <si>
    <t>50% of the ₦500m ticket-value reference, as the December festive push (CEO decision 13); 200 events is 10% of the 2,000-event reference. Baseline [TBC].</t>
  </si>
  <si>
    <t>See PG-KR1.1, PG-KR2.3 and BM-KR2.1</t>
  </si>
  <si>
    <t>CO-KR3.2</t>
  </si>
  <si>
    <t>Assisted hotel and shortlet booking and restaurant booking are live in MyLagosApp and MyCityApp by 30 November. At least 100 December stays [TBC] and [TBC] restaurant bookings are confirmed by the partner and fulfilled. Technology &amp; Back-office Ops owns the booking journeys; Partnership &amp; Growth owns inventory and partner confirmation.</t>
  </si>
  <si>
    <t>Outcome — co-owned</t>
  </si>
  <si>
    <t>Technology &amp; Back-office Ops (journey) / Partnership &amp; Growth (inventory)</t>
  </si>
  <si>
    <t>TBO-KR2.1; TBO-KR3.2; PG-KR1.2; PG-KR1.3</t>
  </si>
  <si>
    <t>Only event tickets can be booked today. Direct-call listings do not count.</t>
  </si>
  <si>
    <t>See TBO-KR2.1, PG-KR1.2 and PG-KR1.3</t>
  </si>
  <si>
    <t>CO-KR3.3</t>
  </si>
  <si>
    <t>The Ember2Remember calendar is live by 31 October and lists what is happening in Lagos, Abuja, Enugu, Kano, Ibadan, Abia State and Rivers State, updated daily. PR publicises it on owned, partner and MTN channels through December, with a tracked link on every placement.</t>
  </si>
  <si>
    <t>Branding &amp; Marketing (PR, owner) / Partnership &amp; Growth (fills the calendar)</t>
  </si>
  <si>
    <t>TBO-KR3.2; BM-KR2.2; PG-KR3.2</t>
  </si>
  <si>
    <t>New measure. Events per city [TBC] from the October count.</t>
  </si>
  <si>
    <t>See BM-KR2.2 and PG-KR3.2</t>
  </si>
  <si>
    <t>CO-O4   Turn new users into repeat users.</t>
  </si>
  <si>
    <t>CO-KR4.1</t>
  </si>
  <si>
    <t>At least 40% [TBC] of users who install in November and December complete a first qualifying action within 7 days.</t>
  </si>
  <si>
    <t>Outcome — contingent on TBO-KR2.3</t>
  </si>
  <si>
    <t>Branding &amp; Marketing</t>
  </si>
  <si>
    <t>TBO-KR2.3; BM-KR1.1</t>
  </si>
  <si>
    <t>Baseline from the first two weeks of analytics data. If the tool slips, count only transaction actions (ticket, payment, booking) from backend records.</t>
  </si>
  <si>
    <t>See BM-KR1.1</t>
  </si>
  <si>
    <t>BM-KR1.1</t>
  </si>
  <si>
    <t>CO-KR4.2</t>
  </si>
  <si>
    <t>At least 30% [TBC] of users first activated in November complete another qualifying action in December.</t>
  </si>
  <si>
    <t>TBO-KR3.1; BM-KR1.2</t>
  </si>
  <si>
    <t>Replaces the 60% 90-day target for Q4; that standard applies from Q1 2027 cohorts</t>
  </si>
  <si>
    <t>See BM-KR1.2</t>
  </si>
  <si>
    <t>BM-KR1.2</t>
  </si>
  <si>
    <t>CO-KR4.3</t>
  </si>
  <si>
    <t>December monthly active users across both apps reach the verified September figure plus 40,000, driven by at least 64,000 new users activated in Q4 (BM-KR1.3).</t>
  </si>
  <si>
    <t>BM-KR1.3; BM-KR4.1; PG-KR3.1</t>
  </si>
  <si>
    <t>10% of the 400K reference. Users activated in October and November do not all return in December: at a 30% month-2 return, +40,000 needs about 64,000 activations and about 160,000 verified downloads at a 40% activation rate (Q4 Target Build). September baseline [TBC] from backend records.</t>
  </si>
  <si>
    <t>Function contributions add up to 64,000 activated users, over 16,000 of them from MTN channels (BM-KR4.1)</t>
  </si>
  <si>
    <t>CO-KR4.4</t>
  </si>
  <si>
    <t>From 1 November, no customer receives more than 3 promotional push notifications a week, and promotional messages go only to users who have opted in.</t>
  </si>
  <si>
    <t>Compliance, floor → KPI from Q1</t>
  </si>
  <si>
    <t>TBO-KR2.1; BM-K15; BM-K08</t>
  </si>
  <si>
    <t>Management has observed about 300 push notifications a day on one device</t>
  </si>
  <si>
    <t>Measured by BM-K15 and BM-K08; caps and preference centre built under TBO-KR2.1</t>
  </si>
  <si>
    <t>CO-O5   Deliver Q4 revenue across all revenue streams.</t>
  </si>
  <si>
    <t>CO-KR5.1</t>
  </si>
  <si>
    <t>Q4 platform revenue earned from 1 October to 31 December reaches ₦163.3 million: advertising and brand partnerships ₦50m, events and ticketing ₦30m, payments ₦50m [TBC], enterprise and government ₦30m, and other (stays and restaurant reservations, live from 30 November) ₦3.3m. This is 10% of each stream's plan-year reference; the remaining ₦30m of the ₦200 million Q4 share waits on the CEO allocating the unassigned ₦300 million.</t>
  </si>
  <si>
    <t>PG-KR1.2; PG-KR1.3; PG-KR2.1; PG-KR2.2; PG-KR2.3; PG-KR2.4</t>
  </si>
  <si>
    <t>Q4 is 10% of ₦2 billion plan-year revenue: ₦200 million earned in Q4 (an ₦800 million annualised rate). The payments line needs about 100,000 completed payments at the reference ₦500 each, against roughly 1,200 at today's reported run rate; locked or lowered on 7 Nov. Wallet funding and funds payable to partners are excluded.</t>
  </si>
  <si>
    <t>See Q4 Target Build; streams owned by PG-KR2.1, PG-KR2.3, PG-KR2.4, CO-KR5.2, PG-KR1.2 and PG-KR1.3</t>
  </si>
  <si>
    <t>CO-KR5.2</t>
  </si>
  <si>
    <t>Completed bill, LASG and in-restaurant payments in Q4 reach [TBC] (the 10% reference is 100,000 payments and ₦2.5 billion payment value), earning the payments line of CO-KR5.1. LASG payments are live in MyLagosApp by 15 November, and December LASG platform fees are settled and reconciled to Alpha Beta records by 10 January.</t>
  </si>
  <si>
    <t>Outcome — co-owned; target locked 7 Nov</t>
  </si>
  <si>
    <t>Partnership &amp; Growth (agreement) / Technology &amp; Back-office Ops (integration)</t>
  </si>
  <si>
    <t>TBO-KR1.1; TBO-KR2.1; PG-KR2.2</t>
  </si>
  <si>
    <t>About 300–400 payments a month today (unverified). Target set from the CO-KR1.1 baseline and the LASG go-live date by 7 Nov.</t>
  </si>
  <si>
    <t>See PG-KR2.2, TBO-KR1.1 and TBO-KR2.1</t>
  </si>
  <si>
    <t>CO-O6   Make on-time delivery of commitments the norm.</t>
  </si>
  <si>
    <t>CO-KR6.1</t>
  </si>
  <si>
    <t>Each function delivers at least 80% of its CEO-approved monthly priority commitments by the original date, in November and in December.</t>
  </si>
  <si>
    <t>CEO (Ifeoma Mbonu)</t>
  </si>
  <si>
    <t>PC-KR1.2</t>
  </si>
  <si>
    <t>Commitment tracking does not exist today</t>
  </si>
  <si>
    <t xml:space="preserve">• Run one company commitment register — from 1 Oct
• Each function head submits monthly commitments with acceptance criteria; the CEO approves them by the 3rd business day — function heads, monthly
• Monthly review of missed items with a recovery owner and date. Deadlines are never reset; approved scope changes are shown separately — CEO, monthly</t>
  </si>
  <si>
    <t>CO-KR6.2</t>
  </si>
  <si>
    <t>By 15 December, every employee has a signed scorecard, and October and November reviews scored from actual results are complete.</t>
  </si>
  <si>
    <t>Enabling / compliance, retiring</t>
  </si>
  <si>
    <t>People &amp; Culture</t>
  </si>
  <si>
    <t>PC-KR1.1</t>
  </si>
  <si>
    <t>Framework in progress</t>
  </si>
  <si>
    <t>See PC-KR1.1</t>
  </si>
  <si>
    <t>Technology &amp; Back-office Ops OKRs</t>
  </si>
  <si>
    <t>MyCityApp and MyLagosApp · Q4 2026 (Oct–Dec) · Foundation draft for review · Function head: Bode Oluwasanmi (CTO)</t>
  </si>
  <si>
    <t>Makes payments, tickets and bookings work, ships the capabilities and measurement the business depends on, keeps what customers see in all three apps (MyLagosApp, MyCityApp Nigeria, MyCityApp Africa) current and correct, and runs customer support. Development is delivered through MTNN.</t>
  </si>
  <si>
    <t>Accountable owner</t>
  </si>
  <si>
    <t>Linked company KR</t>
  </si>
  <si>
    <t>TBO-O1   Make payments, tickets, bookings and support reliable.</t>
  </si>
  <si>
    <t>TBO-KR1.1</t>
  </si>
  <si>
    <t>Bill-payment and LASG-payment success is at least 95% in December, measured daily, with no day below 90%.</t>
  </si>
  <si>
    <t xml:space="preserve">• Root-cause the top five failure reasons from September–October provider logs — 15 Oct
• Daily success-rate monitor with an alert below 90% — 31 Oct
• Fixes, safe retries and a controlled refund path delivered with MTNN — 15 Nov</t>
  </si>
  <si>
    <t>Bode Oluwasanmi</t>
  </si>
  <si>
    <t>CO-KR2.1; CO-KR5.2</t>
  </si>
  <si>
    <t>On track</t>
  </si>
  <si>
    <t>Measurement approach available. Service adoption low. So no real traffic.</t>
  </si>
  <si>
    <t>At least 97% of valid ticket-purchase attempts in Q4 result in a valid ticket, with zero duplicate charges and zero oversold events.</t>
  </si>
  <si>
    <t xml:space="preserve">• BlueSalt API v2 upgrade and simplified checkout released (P0) — 15 Nov
• Load test ticketing for the five largest December events — 30 Nov
• Change freeze on payment, ticket and wallet journeys — 15 Dec to 5 Jan</t>
  </si>
  <si>
    <t>Blue salt upgrade upgrade done. Pending go-live. Temporary freeze on MTNN. - TBD.</t>
  </si>
  <si>
    <t>Customer support is live by 15 November on the published channels, with a case log. At least 85% of December cases are resolved within 48 hours, including refund and booking cases handled with partners or providers.</t>
  </si>
  <si>
    <t xml:space="preserve">• Support playbook for failed payments, missing tickets, booking changes and refunds — 5 Nov
• Case log with timestamps and escalation to the development team (MTNN) and Partnership &amp; Growth — 10 Nov
• Staffed December rota covering the peak event days — 1 Dec</t>
  </si>
  <si>
    <t>Oladotun Shola Adido</t>
  </si>
  <si>
    <t xml:space="preserve">Ifeoma's TA hiring - Cynthia (Interviews in progress)
Recommend Support Ticket Desk - Bode. 
Explore the ERP solution development/implementation in progress.</t>
  </si>
  <si>
    <t>TBO-O2   Ship Q4 capabilities on time without breaking live services.</t>
  </si>
  <si>
    <t>TBO-KR2.1</t>
  </si>
  <si>
    <t>Every Q4 committed capability is live in MyLagosApp and MyCityApp on its date and accepted by its acceptance owner: .</t>
  </si>
  <si>
    <t xml:space="preserve">• CEO-approved roadmap with an MTNN delivery month and an acceptance owner for every item — CEO, 15 Oct
• Weekly MTNN delivery review; slipped items escalated within 2 business days (TBO-K15) — weekly
• In-store payment user stories, restaurants first; decide whether the merchant collection web app is needed for launch — CEO, 20 Oct
• FAAN scope, airports and operator integration agreed — 20 Oct
• Notification caps, separate transactional and promotional messages, preference centre — 31 Oct
• Alpha Beta integration and UAT; staff and pilot launch before public launch — 31 Oct
• Redesign approved against the Brand Book (BM-KR3.1) — 31 Oct
• Stays and restaurant booking on the ticketing checkout, with back-office confirmation queues — 20 Nov
• End-to-end tests with five signed hotels and five signed restaurants (PG-KR1.2, PG-KR1.3) — 28 Nov</t>
  </si>
  <si>
    <t>CO-KR2.4; CO-KR3.2; CO-KR4.4; CO-KR5.2</t>
  </si>
  <si>
    <t xml:space="preserve">Hotel booking functionality - in progress
Merchant Payment - Next sprint (Design completed)
Restaurant Payment - Next Sprint (Design completed)
UX/UI - Ongoing (EOY)
Pending conversation on FAAN Airport taxi booking on commission. 
Share the designs for Wallet-to-Wallet Payment - Bode.</t>
  </si>
  <si>
    <t>TBO-KR2.2</t>
  </si>
  <si>
    <t>No Q4 release degrades what already works: in the 14 days after each release, bill-payment and ticket success are no lower than in the 14 days before, and no customer-affecting P1 incident is caused by a release.</t>
  </si>
  <si>
    <t>Outcome — quality guard</t>
  </si>
  <si>
    <t xml:space="preserve">• Technical, business and service-owner approval recorded for every priority release (TBO-K06) — from 15 Oct
• Rollback plan tested for each P0 release — 25 Nov
• Staged rollout of the redesign and new journeys: staff, then 10% of users, then everyone — 30 Nov
• December change freeze, 15 Dec to 5 Jan — CEO</t>
  </si>
  <si>
    <t>CO-KR2.1; CO-KR2.2</t>
  </si>
  <si>
    <t>A product analytics tool (e.g. Mixpanel or Amplitude) is contracted by 15 October and records seven priority journeys in both apps by 15 November: install, first qualifying action, ticket purchase, bill payment, LASG payment, business contact and booking request. The November figures reconcile to provider and settlement records within 2%.</t>
  </si>
  <si>
    <t>Visibility gate — retires after two reconciled months</t>
  </si>
  <si>
    <t xml:space="preserve">• Compare product analytics tools on cost, SDK fit and data export; recommend one to the CEO — 8 Oct
• Contract the tool and approve the event dictionary (names, properties, qualifying-action definition) — 15 Oct
• Capture a partner, event or MTN channel code at sign-up in the backend — 15 Oct
• Interim weekly report from backend and provider records until the tool is live — from 12 Oct
• Instrument the journeys through MTNN — 10 Nov
• First reconciled monthly report — 5 Dec</t>
  </si>
  <si>
    <t>CO-KR1.1; CO-KR1.2; CO-KR4.1</t>
  </si>
  <si>
    <t>Pending Review/tool identification</t>
  </si>
  <si>
    <t>TBO-O3   Keep app content accurate and publish new supply fast.</t>
  </si>
  <si>
    <t>TBO-KR3.1</t>
  </si>
  <si>
    <t>At least 98% of audited live events, stays and business listings in each of the three apps pass date, price, location and contact checks in December. The October audit sets the baseline.</t>
  </si>
  <si>
    <t>Outcome — target provisional until the October audit</t>
  </si>
  <si>
    <t xml:space="preserve">• Baseline audit per app with a documented sampling method — 25 Oct
• Pre-publication checks per content type — 15 Nov
• Automatic expiry of one-off events at their end time, dated in the roadmap; daily manual expiry check until then (TBO-K09) — roadmap date
• Verify hospital, police and fire-service contacts against official sources — 30 Nov</t>
  </si>
  <si>
    <t xml:space="preserve"> - Auto-deletion of expired events. - Confirm why it is not running - Shola/Bode
- Live notification for events(countdown timers, etc.)
- Engage Shola for a walkthrough on the event management  capability on myCityApp Admin console.
</t>
  </si>
  <si>
    <t>TBO-KR3.2</t>
  </si>
  <si>
    <t>95% of complete, approved submissions for events, stays and business profiles are published within 2 business days in November and December.</t>
  </si>
  <si>
    <t xml:space="preserve">• One publishing queue with required fields, owner and deadline — 20 Oct
• Daily upload of Ember2Remember calendar events from Partnership &amp; Growth’s submissions, reported to the CTO (TBO-K14) — daily from 1 Nov
• Return incomplete submissions with the missing items named — ongoing</t>
  </si>
  <si>
    <t>CO-KR3.1; CO-KR3.2; CO-KR3.3</t>
  </si>
  <si>
    <t>TBO-KR3.3</t>
  </si>
  <si>
    <t>At least 5,000 new business profiles are published in MyCityApp in Q4, owner-verified and with all required fields. They include restaurants, hotels and tourist locations in Lagos, Abuja, Enugu, Kano, Ibadan, Abia State, Rivers State and the other major cities; tourist locations are verified against official sources and published under SeeNaija. Partnership &amp; Growth supplies association and partner lists; Operations verifies and publishes.</t>
  </si>
  <si>
    <t>Output</t>
  </si>
  <si>
    <t xml:space="preserve">• Verification call script and required-field standard — 15 Oct
• City targets for restaurants, hotels and tourist locations — 20 Oct
• Tourist-location discovery across all Nigerian cities, published under SeeNaija — from 1 Nov
• Bulk listing upload, dated in the roadmap; manual batches until then — from 1 Nov</t>
  </si>
  <si>
    <t>CO-O3 (verified businesses; no company KR)</t>
  </si>
  <si>
    <t>Operational KPIs</t>
  </si>
  <si>
    <t>Recurring measures of how well the function runs, each with one formula, a target and a data source. No KPI repeats a KR. No eligible cases means N/A, not 100%. Overdue cases stay in the denominator. Record each month’s actual; KPIs are not scored.</t>
  </si>
  <si>
    <t>KPI ID</t>
  </si>
  <si>
    <t>KPI</t>
  </si>
  <si>
    <t>Formula</t>
  </si>
  <si>
    <t>Unit</t>
  </si>
  <si>
    <t>Direction</t>
  </si>
  <si>
    <t>Target</t>
  </si>
  <si>
    <t>Frequency</t>
  </si>
  <si>
    <t>Data source</t>
  </si>
  <si>
    <t>Result</t>
  </si>
  <si>
    <t>Comment</t>
  </si>
  <si>
    <t>December</t>
  </si>
  <si>
    <t>TBO-K01</t>
  </si>
  <si>
    <t>Payment and ticketing service availability rate</t>
  </si>
  <si>
    <t>Minutes the monitored payment and ticketing services are usable ÷ total minutes in the month (planned outages count as downtime)</t>
  </si>
  <si>
    <t>%</t>
  </si>
  <si>
    <t>Higher is better</t>
  </si>
  <si>
    <t>≥99.5%</t>
  </si>
  <si>
    <t>Monthly</t>
  </si>
  <si>
    <t>Uptime monitor; MTNN incident log</t>
  </si>
  <si>
    <t>TBO-K02</t>
  </si>
  <si>
    <t>Priority-1 incident recovery rate</t>
  </si>
  <si>
    <t>Customer-affecting P1 incidents restored within 4 hours ÷ P1 incidents in the month</t>
  </si>
  <si>
    <t>≥90%</t>
  </si>
  <si>
    <t>Incident log</t>
  </si>
  <si>
    <t>TBO-K03</t>
  </si>
  <si>
    <t>Next-day transaction matching rate</t>
  </si>
  <si>
    <t>Settled transactions matched to order, provider and settlement references by the next business day ÷ settled transactions</t>
  </si>
  <si>
    <t>100%</t>
  </si>
  <si>
    <t>Daily; reported monthly</t>
  </si>
  <si>
    <t>Reconciliation report</t>
  </si>
  <si>
    <t>TBO-K04</t>
  </si>
  <si>
    <t>Verified backup success rate</t>
  </si>
  <si>
    <t>Production backups completed and verified readable ÷ backups scheduled</t>
  </si>
  <si>
    <t>Backup log</t>
  </si>
  <si>
    <t>TBO-K05</t>
  </si>
  <si>
    <t>Overdue production-access removals</t>
  </si>
  <si>
    <t>Number of departed or unauthorised users still holding production access after the removal cut-off</t>
  </si>
  <si>
    <t>Count</t>
  </si>
  <si>
    <t>Lower is better</t>
  </si>
  <si>
    <t>0</t>
  </si>
  <si>
    <t>Monthly maximum</t>
  </si>
  <si>
    <t>Access register; P&amp;C exit list</t>
  </si>
  <si>
    <t>TBO-K06</t>
  </si>
  <si>
    <t>Release approval compliance rate</t>
  </si>
  <si>
    <t>Priority releases with recorded technical, business and service-owner approval ÷ priority releases</t>
  </si>
  <si>
    <t>Per release; reported monthly</t>
  </si>
  <si>
    <t>Release log</t>
  </si>
  <si>
    <t>TBO-K07</t>
  </si>
  <si>
    <t>Campaign-link accuracy rate</t>
  </si>
  <si>
    <t>Campaign links reaching the correct in-app item on installed and new-install journeys ÷ campaign links tested</t>
  </si>
  <si>
    <t>Before each launch; reported monthly</t>
  </si>
  <si>
    <t>Pre-launch test log</t>
  </si>
  <si>
    <t>TBO-K08</t>
  </si>
  <si>
    <t>Event expiry compliance rate</t>
  </si>
  <si>
    <t>One-off events removed from upcoming listings within 24 hours of their end time ÷ events due for removal</t>
  </si>
  <si>
    <t>≥98%</t>
  </si>
  <si>
    <t>Monthly, per app</t>
  </si>
  <si>
    <t>Listing audit; admin log</t>
  </si>
  <si>
    <t>TBO-K09</t>
  </si>
  <si>
    <t>Stale events on display</t>
  </si>
  <si>
    <t>Highest daily count of events still shown as upcoming 7+ days after they ended</t>
  </si>
  <si>
    <t>Daily; monthly maximum</t>
  </si>
  <si>
    <t>Daily listing check</t>
  </si>
  <si>
    <t>TBO-K10</t>
  </si>
  <si>
    <t>Listing correction turnaround rate</t>
  </si>
  <si>
    <t>Confirmed listing errors corrected or withdrawn within 1 business day ÷ errors due</t>
  </si>
  <si>
    <t>≥95%</t>
  </si>
  <si>
    <t>Correction log</t>
  </si>
  <si>
    <t>TBO-K11</t>
  </si>
  <si>
    <t>Unresolved critical contact errors</t>
  </si>
  <si>
    <t>Confirmed wrong hospital, police or fire-service entries not yet corrected or hidden</t>
  </si>
  <si>
    <t>TBO-K12</t>
  </si>
  <si>
    <t>Business profile completeness rate</t>
  </si>
  <si>
    <t>Published profiles with all required location, category, service and contact fields ÷ profiles audited</t>
  </si>
  <si>
    <t>Listing audit</t>
  </si>
  <si>
    <t>TBO-K13</t>
  </si>
  <si>
    <t>Support first-response rate</t>
  </si>
  <si>
    <t>Cases receiving a first useful response within 4 business hours ÷ cases received</t>
  </si>
  <si>
    <t>Monthly from launch</t>
  </si>
  <si>
    <t>Support case log</t>
  </si>
  <si>
    <t>TBO-K14</t>
  </si>
  <si>
    <t>Daily event-upload reporting rate</t>
  </si>
  <si>
    <t>Days on which the upload report (events uploaded per city against the daily target, plus backlog) reaches the CTO by 10:00 the next business day ÷ business days in the month</t>
  </si>
  <si>
    <t>Publishing queue; admin log</t>
  </si>
  <si>
    <t>TBO-K15</t>
  </si>
  <si>
    <t>MTNN milestone on-time acceptance rate</t>
  </si>
  <si>
    <t>Roadmap milestones accepted by their acceptance owner by the committed date ÷ milestones due</t>
  </si>
  <si>
    <t>≥80%</t>
  </si>
  <si>
    <t>Roadmap; MTNN delivery log</t>
  </si>
  <si>
    <t>Baselines for every KPI come from CO-KR1.1 (31 October). Data sources are records available today; none depends on the analytics tool unless stated.</t>
  </si>
  <si>
    <t>Branding &amp; Marketing OKRs</t>
  </si>
  <si>
    <t>MyCityApp and MyLagosApp · Q4 2026 (Oct–Dec) · Foundation draft for review · Function head: Chinyere Elechi</t>
  </si>
  <si>
    <t>Gets the right people into the apps, makes their first week worthwhile, sells December's events and sends only the messages customers asked for.</t>
  </si>
  <si>
    <t>BM-O1   Activate new users and bring them back.</t>
  </si>
  <si>
    <t>At least 40% [TBC] of users who install in November and December complete a first qualifying action within 7 days, through welcome journeys live by 15 November for each source (partner-event sign-up, LASG payer, MTN channel, organic, paid campaign).</t>
  </si>
  <si>
    <t xml:space="preserve">• Lifecycle lead named for activation, welcome journeys and cohort review — CEO, 25 Sep
• Map the first action that fits each source (e.g. event sign-up → next event ticket; LASG payer → saved bill reminder) — 25 Oct
• Build the in-app and message sequences with Technology &amp; Back-office Ops — 12 Nov
• Weekly cohort review; change the weakest journey each fortnight — from 20 Nov</t>
  </si>
  <si>
    <t>Chinyere Elechi</t>
  </si>
  <si>
    <t>- Request data on user base</t>
  </si>
  <si>
    <t xml:space="preserve">• Audit all automated and manual push campaigns; switch off duplicates — 20 Oct
• One approved send calendar; every send has an audience, cap check and owner (BM-K15) — 31 Oct
• Weekly digest, including the Ember2Remember calendar, replaces single-offer pushes for opted-in users — 15 Nov
• Retarget ticket buyers and stay guests for nearby events and next stays (opted-in users only) — December</t>
  </si>
  <si>
    <t>BM-KR1.3</t>
  </si>
  <si>
    <t>At least 64,000 new users from all channels (marketing campaigns, MTN channels, partner placements and event sign-ups) complete a first qualifying action within 7 days in Q4, at or below the approved cost per activated user.</t>
  </si>
  <si>
    <t xml:space="preserve">• December marketing plan and advertising budget approved, through media buyers checked against our brand and values, including Tochi’s Grow app as a channel — CEO, 31 Oct
• Convert partner-placement and event sign-ups through the welcome journey within 24 hours of hand-over — from 1 Nov
• Creator guides for December events and stays, linking to the in-app item — from 1 Nov
• LASG payment awareness by payer group (Land Use Charge, water, waste) once live — from 15 Nov
• Reallocate spend every two weeks towards cost per activated user (BM-K07) — fortnightly</t>
  </si>
  <si>
    <t>BM-O2   Drive December ticket sales.</t>
  </si>
  <si>
    <t>BM-KR2.1</t>
  </si>
  <si>
    <t>At least ₦100 million of Q4 paid-ticket value, 40% of the ₦250 million in CO-KR3.1, comes through Marketing campaigns, tracked from campaign link to paid ticket.</t>
  </si>
  <si>
    <t xml:space="preserve">• Promote the Ember2Remember calendar events — from 31 Oct
• Organiser co-promotion and creator previews for the 25 exclusive December events — from 15 Nov
• Retarget ticket buyers for their next event (opted-in users only) — December</t>
  </si>
  <si>
    <t xml:space="preserve">6 paid events - MOU shared 
Kano Polo Club - Revisit the Partnership.</t>
  </si>
  <si>
    <t>BM-KR2.2</t>
  </si>
  <si>
    <t>PR publicises the Ember2Remember calendar from 31 October through December: at least [TBC] earned-media, creator, partner and MTN-channel placements, each with a tracked link to the calendar.</t>
  </si>
  <si>
    <t xml:space="preserve">• Calendar format, city sections and publishing rules — 15 Oct
• PR plan: press, creators, partner and MTN channels — 25 Oct
• Calendar live in the apps, filled by Partnership &amp; Growth (PG-KR3.2) and uploaded daily (TBO-KR3.2) — 31 Oct</t>
  </si>
  <si>
    <t xml:space="preserve">BeatFm, TV Interviews, Radio Interview, Ember2Remember Song
- Memorable experiential content directions
- Partnership with event organisers for promotion
- Leverage Providus Bank for publicity 
- MTN
- Revise the content direction and budget</t>
  </si>
  <si>
    <t>BM-KR2.3</t>
  </si>
  <si>
    <t>At least 10 promoters and organisers of calendar events, starting with Showrunner, sell their tickets through MyCityApp in Q4 and feature MyCityApp on their promotional materials (logo, QR code or tracked link).</t>
  </si>
  <si>
    <t xml:space="preserve">• Showrunner adds MyCityApp as a ticket vending platform and carries it on their promotional materials — with Partnership &amp; Growth, 20 Oct
• Co-branding kit for promoters (logo, QR code, tracked link, usage rules) — 20 Oct
• Promoter materials checked against the Brand Book before release — per event</t>
  </si>
  <si>
    <t>BM-O3   Give each app a distinct, consistent brand.</t>
  </si>
  <si>
    <t>BM-KR3.1</t>
  </si>
  <si>
    <t>The Brand Book is approved by the CEO by 31 October, covering positioning, audience, voice, naming rules and visual identity for MyLagosApp, MyCityApp Nigeria and MyCityApp Africa.</t>
  </si>
  <si>
    <t>Enabling — retires on approval</t>
  </si>
  <si>
    <t xml:space="preserve">• Positioning and message architecture for the three apps — 10 Oct
• Visual system, templates and asset library — 24 Oct
• CEO approval — CEO, 31 Oct</t>
  </si>
  <si>
    <t>CO-O4 (no company KR)</t>
  </si>
  <si>
    <t>BM-KR3.2</t>
  </si>
  <si>
    <t>By 15 December, every app-store page, website and social profile of the three apps conforms to the Brand Book, and 100% of new campaign assets pass the brand check from 1 November.</t>
  </si>
  <si>
    <t>Compliance, floor → BM-K09 from Q1</t>
  </si>
  <si>
    <t xml:space="preserve">• Re-skin app-store pages and social profiles for MyLagosApp, MyCityApp Nigeria and MyCityApp Africa — 15 Dec
• Brand check on every paid asset and a sample of organic assets (BM-K09) — from 1 Nov
• Redesigned apps apply the Brand Book (TBO-KR2.1) — 30 Nov</t>
  </si>
  <si>
    <t>BM-O4   Grow users through MTN and launch SeeNaija tourism.</t>
  </si>
  <si>
    <t>BM-KR4.1</t>
  </si>
  <si>
    <t>MTN channels deliver more than 16,000 of BM-KR1.3's 64,000: new users who complete a first qualifying action after arriving through MTN SMS, the MTN app, MTN shops and service centres, or MTN airport stands, each tracked by its own channel code.</t>
  </si>
  <si>
    <t xml:space="preserve">• Map the MTN partnership across departments (digital marketing, marketing activation, retail, SeeNaija) with a named MTN contact for each — 15 Oct
• SMS blasts one week each month, 3 slots a month, under MTN’s consent rules with an opt-out (BM-K08) — monthly from Oct
• MTN app advertising and a joint activation calendar with MTN’s marketing department — 31 Oct
• In-store activations at MTN shops and service centres, and MTN airport stands: assisted download and first action — from 1 Nov</t>
  </si>
  <si>
    <r>
      <rPr>
        <color rgb="FF000000"/>
        <sz val="10"/>
        <rFont val="Arial"/>
      </rPr>
      <t xml:space="preserve">
Digital Marketing - In-app ads, SMS, app growth
Marketing -
- SeeNaija
- Working with the marketing (where MTN is a sponsor and all event MTNN is in collaboration)
- Y'ello tidings - Explore your city redirects to </t>
    </r>
    <r>
      <rPr>
        <u/>
        <color rgb="FF1155CC"/>
        <sz val="10"/>
        <rFont val="Arial"/>
      </rPr>
      <t>mycityapp.io</t>
    </r>
  </si>
  <si>
    <t>BM-KR4.2</t>
  </si>
  <si>
    <t>SeeNaija, MTNN's tourism initiative, becomes the tourism feature in MyCityApp. The SeeNaija partnership terms with MTNN are agreed by 31 October, and at least [TBC] tourism packages curated with Kayode Okikiolu and TourGuide are live in the app by 15 December.</t>
  </si>
  <si>
    <t>Output — enabling</t>
  </si>
  <si>
    <t xml:space="preserve">• Agree SeeNaija scope, branding and roles with MTNN — 31 Oct
• Package design with Kayode Okikiolu (kayodeokikiolu.com) and TourGuide — 20 Nov
• Tourist locations listed under SeeNaija by back-office Ops (TBO-KR3.3) — from 1 Nov
• SeeNaija launch campaign — 15 Dec</t>
  </si>
  <si>
    <t>CO-O3 (no company KR)</t>
  </si>
  <si>
    <t>BM-K01</t>
  </si>
  <si>
    <t>Content calendar coverage</t>
  </si>
  <si>
    <t>Consecutive future days covered by approved content with channel, date and owner</t>
  </si>
  <si>
    <t>Days</t>
  </si>
  <si>
    <t>≥28</t>
  </si>
  <si>
    <t>Weekly check; monthly minimum</t>
  </si>
  <si>
    <t>Content calendar</t>
  </si>
  <si>
    <t>BM-K02</t>
  </si>
  <si>
    <t>On-time publication rate</t>
  </si>
  <si>
    <t>Scheduled posts published at the agreed time ÷ posts due (approved cancellations shown separately)</t>
  </si>
  <si>
    <t>Content calendar; channel logs</t>
  </si>
  <si>
    <t>BM-K03</t>
  </si>
  <si>
    <t>On-time creative asset delivery rate</t>
  </si>
  <si>
    <t>Campaign assets delivered by the agreed deadline ÷ assets due</t>
  </si>
  <si>
    <t>Creative request tracker</t>
  </si>
  <si>
    <t>BM-K04</t>
  </si>
  <si>
    <t>Creative first-pass approval rate</t>
  </si>
  <si>
    <t>First submissions approved without substantial rework against the brief ÷ first submissions</t>
  </si>
  <si>
    <t>≥85%</t>
  </si>
  <si>
    <t>BM-K05</t>
  </si>
  <si>
    <t>Campaign attribution coverage rate</t>
  </si>
  <si>
    <t>Live campaigns with a working link to the promoted item and first-action tracking ÷ live campaigns</t>
  </si>
  <si>
    <t>Campaign register</t>
  </si>
  <si>
    <t>BM-K06</t>
  </si>
  <si>
    <t>Campaign budget variance</t>
  </si>
  <si>
    <t>(Actual + committed spend − approved cap) ÷ approved cap; no approved cap means no spending authority</t>
  </si>
  <si>
    <t>≤0%</t>
  </si>
  <si>
    <t>Per campaign; monthly</t>
  </si>
  <si>
    <t>Campaign register; finance records</t>
  </si>
  <si>
    <t>BM-K07</t>
  </si>
  <si>
    <t>Cost per activated user</t>
  </si>
  <si>
    <t>Campaign spend ÷ new users completing a first qualifying action attributed to the campaign</t>
  </si>
  <si>
    <t>₦</t>
  </si>
  <si>
    <t>≤ approved ceiling</t>
  </si>
  <si>
    <t>Campaign register; analytics (backend records until live)</t>
  </si>
  <si>
    <t>BM-K08</t>
  </si>
  <si>
    <t>Marketing consent violations</t>
  </si>
  <si>
    <t>Promotional push or SMS sends without valid consent, after opt-out, or beyond the user's chosen frequency (includes SMS sent through MTN)</t>
  </si>
  <si>
    <t>Messaging tool logs; MTN SMS delivery reports</t>
  </si>
  <si>
    <t>BM-K09</t>
  </si>
  <si>
    <t>Brand compliance rate — new assets</t>
  </si>
  <si>
    <t>New published assets passing Brand Book, price, date and claim checks ÷ new assets checked (all paid, sample of organic)</t>
  </si>
  <si>
    <t>Monthly from 1 Nov</t>
  </si>
  <si>
    <t>Brand review log</t>
  </si>
  <si>
    <t>BM-K10</t>
  </si>
  <si>
    <t>Social enquiry response rate</t>
  </si>
  <si>
    <t>Social enquiries answered or routed to the owning team within 1 business day ÷ enquiries received</t>
  </si>
  <si>
    <t>Social inbox</t>
  </si>
  <si>
    <t>BM-K11</t>
  </si>
  <si>
    <t>Social-to-app click-through rate</t>
  </si>
  <si>
    <t>Clicks on tracked app links from organic social posts ÷ reach of those posts (per 1,000)</t>
  </si>
  <si>
    <t>Clicks per 1,000 reach</t>
  </si>
  <si>
    <t>[TBC] — October baseline + 20%</t>
  </si>
  <si>
    <t>Link shortener or UTM report; platform insights (no app analytics needed)</t>
  </si>
  <si>
    <t>BM-K12</t>
  </si>
  <si>
    <t>Earned-media placements</t>
  </si>
  <si>
    <t>Published media or partner-channel pieces naming the app and a specific service</t>
  </si>
  <si>
    <t>≥4 a month [TBC]</t>
  </si>
  <si>
    <t>Press log with links</t>
  </si>
  <si>
    <t>BM-K13</t>
  </si>
  <si>
    <t>Tracked-link coverage rate</t>
  </si>
  <si>
    <t>Posts and placements promoting an in-app item that carry a working tracked link ÷ such posts and placements</t>
  </si>
  <si>
    <t>Content calendar; link report</t>
  </si>
  <si>
    <t>BM-K14</t>
  </si>
  <si>
    <t>Brand campaign target attainment rate</t>
  </si>
  <si>
    <t>Paid brand campaigns meeting the customer-action target agreed with the client ÷ paid brand campaigns delivered (minimum five in Q4)</t>
  </si>
  <si>
    <t>Campaign register; client results reports</t>
  </si>
  <si>
    <t>BM-K15</t>
  </si>
  <si>
    <t>Promotional push frequency</t>
  </si>
  <si>
    <t>Highest number of promotional pushes any user received in a week (transactional messages excluded)</t>
  </si>
  <si>
    <t>≤3 from 1 Nov</t>
  </si>
  <si>
    <t>Weekly; monthly maximum</t>
  </si>
  <si>
    <t>Messaging tool logs</t>
  </si>
  <si>
    <t>BM-K16</t>
  </si>
  <si>
    <t>Push opt-out rate</t>
  </si>
  <si>
    <t>Users switching off promotional push in the month ÷ users opted in at the start of the month</t>
  </si>
  <si>
    <t>&lt;2% [TBC]</t>
  </si>
  <si>
    <t>Messaging tool logs; preference centre</t>
  </si>
  <si>
    <t>Partnership &amp; Growth OKRs</t>
  </si>
  <si>
    <t>MyCityApp and MyLagosApp · Q4 2026 (Oct–Dec) · Foundation draft for review · Function head: Abubakar Mohammed (Head of Partnership once hired)</t>
  </si>
  <si>
    <t>Puts events, stays and deals on the platform on terms that pay MyCityApp and give customers something exclusive, and brings in partner users who stay.</t>
  </si>
  <si>
    <t>PG-O1   Secure festive-season events, stays and restaurants on profitable, exclusive terms.</t>
  </si>
  <si>
    <t>PG-KR1.1</t>
  </si>
  <si>
    <t>At least 200 ticketed events are live in Q4 under signed commission terms. At least 25 of the December events carry an app-exclusive allocation, price or access benefit.</t>
  </si>
  <si>
    <t xml:space="preserve">• Festive-season pipeline: concerts, comedy, festivals and conferences with ticket-sales history — 15 Oct
• Showrunner and other calendar promoters sign MyCityApp as a ticket vending platform (with BM-KR2.3) — 20 Oct
• Exclusive-terms offer (allocation, early access, bundled stay) for top organisers — 31 Oct
• Signed events handed to back-office Ops as complete submissions — per signature</t>
  </si>
  <si>
    <t>Abubakar Mohammed</t>
  </si>
  <si>
    <t>PG-KR1.2</t>
  </si>
  <si>
    <t>At least 150 hotels and shortlets across Lagos, Abuja, Enugu, Kano, Ibadan, Abia State and Rivers State (at least [TBC] in Lagos) have signed terms by 20 November, and 250 by 31 December: December bookable inventory in MyLagosApp and MyCityApp, confirmation within 2 hours, platform fee and an app-exclusive benefit.</t>
  </si>
  <si>
    <t>Enabling — retires once bookings run at scale</t>
  </si>
  <si>
    <t xml:space="preserve">• Target list by city, area and event proximity — 10 Oct
• Standard partner terms and fee approved — CEO, 20 Oct
• Abuja signings and city leads for Enugu, Kano, Ibadan, Abia State and Rivers State — from 15 Oct
• Five launch partners ready to test the booking flow — 25 Nov</t>
  </si>
  <si>
    <t>CO-KR3.2; CO-KR5.1</t>
  </si>
  <si>
    <t>PG-KR1.3</t>
  </si>
  <si>
    <t>At least 150 restaurants across Lagos, Abuja, Enugu, Kano, Ibadan, Abia State and Rivers State have signed terms by 20 November covering table booking and in-restaurant payment, so both launch on 30 November with live inventory.</t>
  </si>
  <si>
    <t xml:space="preserve">• Restaurant terms (slot booking, deposit rule, in-restaurant payment fee, exclusive benefit) approved — CEO, 25 Oct
• Five launch restaurants ready to test booking and payment — 25 Nov
• Signed restaurants handed to back-office Ops for profile readiness — per signature</t>
  </si>
  <si>
    <t>CO-KR2.4; CO-KR3.2; CO-KR5.1</t>
  </si>
  <si>
    <t>PG-O2   Grow Q4 partner revenue.</t>
  </si>
  <si>
    <t>PG-KR2.1</t>
  </si>
  <si>
    <t>₦50 million [TBC] in advertising and brand-partnership revenue is earned in Q4 from campaigns delivered in the apps and advertising slots on the MyCityApp website: 10% of the ₦500 million plan-year reference.</t>
  </si>
  <si>
    <t xml:space="preserve">• Festive sponsorship packages (city guides, event categories, homepage) priced with delivery costs — 20 Oct
• MyCityApp website ad slots: slot inventory, rate card and booking process, sold to interested advertisers — 31 Oct
• Qualified pipeline at 3× the Q4 target (₦150 million) (PG-K01) — 31 Oct
• Client customer-action targets agreed with Marketing before signature (BM-K14) — per campaign</t>
  </si>
  <si>
    <t>PG-KR2.2</t>
  </si>
  <si>
    <t>The Alpha Beta/LASG agreement is signed by 15 October, covering bill types, platform fee, settlement and refund responsibilities, and December LASG platform fees are invoiced and reconciled to Alpha Beta records by 10 January.</t>
  </si>
  <si>
    <t xml:space="preserve">• Close outstanding commercial terms — 10 Oct
• Agreed bill types and fees handed to Technology &amp; Back-office Ops and Marketing — 17 Oct
• December fee invoice and reconciliation with Alpha Beta, with Technology &amp; Back-office Ops — 10 Jan</t>
  </si>
  <si>
    <t>CO-KR5.1; CO-KR5.2</t>
  </si>
  <si>
    <t>PG-KR2.3</t>
  </si>
  <si>
    <t>₦30 million [TBC] in ticketing revenue is earned in Q4 from signed events, 10% of the ₦300 million plan-year reference: contracted rates averaging at least 12% of the ₦250 million paid-ticket value, net of refunds, credited to the account owner on the pipeline record.</t>
  </si>
  <si>
    <t xml:space="preserve">• Contracted commission rate recorded on every event deal; deals below 10% need CEO approval (PG-K07) — per signature
• Exclusive-terms offers priced so the exclusive benefit does not cut the platform rate — 31 Oct
• Event close-out reconciliation of tickets, refunds, commission and organiser payout, with Technology &amp; Back-office Ops — within 5 business days of each event</t>
  </si>
  <si>
    <t>CO-KR3.1; CO-KR5.1</t>
  </si>
  <si>
    <t>PG-KR2.4</t>
  </si>
  <si>
    <t>₦30 million [TBC] in enterprise and government partnership revenue is contracted and invoiced in Q4, 10% of the ₦300 million plan-year reference: state digital integrations, tourism, corporate concierge and destination marketing.</t>
  </si>
  <si>
    <t xml:space="preserve">• Named pipeline of state, tourism and corporate accounts at 3× the target (₦90 million) — 31 Oct
• State collections proposals for Enugu, Cross River, Akwa Ibom, Benue and Plateau — 15 Nov
• Destination-marketing packages with SeeNaija (BM-KR4.2) — 30 Nov
• Only signed contracts and issued invoices count — monthly</t>
  </si>
  <si>
    <t>PG-O3   Fill the Ember2Remember calendar and extend its reach through partners.</t>
  </si>
  <si>
    <t>PG-KR3.1</t>
  </si>
  <si>
    <t>At least 30 [TBC] live distribution placements are secured in Q4 (hotel guest messages, event ticket emails, association and conference channels), each with an agreed audience and a tracked MyCityApp link that passes Technology's link test.</t>
  </si>
  <si>
    <t xml:space="preserve">• Placement offer for partners: what they get (content, exclusive benefit for their audience) and what they carry — 15 Oct
• Territory placement targets agreed with each officer — 25 Sep
• Each placement handed to Marketing with audience, dates and link within 2 business days of signature — per placement</t>
  </si>
  <si>
    <t>PG-KR3.2</t>
  </si>
  <si>
    <t>Partnership &amp; Growth fills the Ember2Remember calendar: from 1 November, at least [TBC] upcoming events a week are submitted for each of Lagos, Abuja, Enugu, Kano, Ibadan, Abia State and Rivers State, each handed to back-office Ops as a complete submission.</t>
  </si>
  <si>
    <t xml:space="preserve">• Event sources per city (promoters, venues, associations, government calendars) — 15 Oct
• Weekly city targets agreed with each territory officer — 20 Oct
• Complete submissions handed to back-office Ops for daily upload — daily from 1 Nov
• Calendar ownership handed to the Head of Partnership on arrival — Nov</t>
  </si>
  <si>
    <t>Abubakar Mohammed (Head of Partnership once hired)</t>
  </si>
  <si>
    <t>PG-K01</t>
  </si>
  <si>
    <t>Qualified pipeline coverage ratio</t>
  </si>
  <si>
    <t>Platform revenue expected in Q4 from qualified open opportunities ÷ remaining Q4 revenue target (excludes ticket value and GMV)</t>
  </si>
  <si>
    <t>Ratio</t>
  </si>
  <si>
    <t>≥3.0×</t>
  </si>
  <si>
    <t>Pipeline register</t>
  </si>
  <si>
    <t>PG-K02</t>
  </si>
  <si>
    <t>On-time partner launch rate</t>
  </si>
  <si>
    <t>Signed partners and events live on the agreed date ÷ launches due (overdue launches stay in)</t>
  </si>
  <si>
    <t>Pipeline register; publishing queue</t>
  </si>
  <si>
    <t>PG-K03</t>
  </si>
  <si>
    <t>Signed-deal handover rate</t>
  </si>
  <si>
    <t>Signed deals accepted by the delivering team within 2 business days of signature ÷ deals signed</t>
  </si>
  <si>
    <t>Handover log</t>
  </si>
  <si>
    <t>PG-K04</t>
  </si>
  <si>
    <t>Partner booking confirmation rate</t>
  </si>
  <si>
    <t>Stay and restaurant requests confirmed or declined by the partner within 2 hours ÷ requests received</t>
  </si>
  <si>
    <t>Weekly in December; monthly</t>
  </si>
  <si>
    <t>Booking back office</t>
  </si>
  <si>
    <t>PG-K05</t>
  </si>
  <si>
    <t>On-time invoice collection rate</t>
  </si>
  <si>
    <t>Cash received by the invoice due date ÷ invoiced amounts due</t>
  </si>
  <si>
    <t>Finance records</t>
  </si>
  <si>
    <t>PG-K06</t>
  </si>
  <si>
    <t>Exclusive-offer terms documentation rate</t>
  </si>
  <si>
    <t>Live exclusive offers with benefit, availability, validity and redemption terms recorded ÷ live exclusive offers</t>
  </si>
  <si>
    <t>Offer register</t>
  </si>
  <si>
    <t>PG-K07</t>
  </si>
  <si>
    <t>Commercial approval-limit compliance rate</t>
  </si>
  <si>
    <t>Deals agreed within approved pricing and discount authority ÷ deals agreed</t>
  </si>
  <si>
    <t>Deal approvals log</t>
  </si>
  <si>
    <t>PG-K08</t>
  </si>
  <si>
    <t>Overdue sales follow-ups</t>
  </si>
  <si>
    <t>Qualified opportunities whose agreed next action is more than 5 business days overdue</t>
  </si>
  <si>
    <t>People &amp; Culture OKRs</t>
  </si>
  <si>
    <t>MyCityApp and MyLagosApp · Q4 2026 (Oct–Dec) · Foundation draft for review · Function head: Cynthia Osakunih</t>
  </si>
  <si>
    <t>Gives every employee clear ownership and reviews based on results, runs the company commitment register, staffs customer support and moves core HR processes out of Excel.</t>
  </si>
  <si>
    <t>PC-O1   Hold everyone accountable for clear, measured results.</t>
  </si>
  <si>
    <t>October and November reviews are complete for 100% of eligible employees by 15 December, each scored from actual results against the employee's signed Q4 scorecard, with a corrective action for every missed result.</t>
  </si>
  <si>
    <t>Compliance, retiring → KPI in 2027</t>
  </si>
  <si>
    <t xml:space="preserve">• Q4 scorecards signed by every employee and reviewer — 25 Sep
• Organisation chart updated (CTO leads Technology and back-office Ops) and back-office Ops scorecards re-signed with the CTO as reviewer — CTO, 12 Oct
• Review calendar and manager guidance — 20 Oct
• Reviews use the commitment register and KPI actuals, not self-reports — CEO, monthly</t>
  </si>
  <si>
    <t>Cynthia Osakunih</t>
  </si>
  <si>
    <t>From October, the company commitment register holds every function's CEO-approved monthly commitments with acceptance criteria and original dates, and the month-end delivery report reaches the CEO by the 3rd business day of each following month.</t>
  </si>
  <si>
    <t>Enabling → PC-K06 from Q1</t>
  </si>
  <si>
    <t xml:space="preserve">• Register template and function-head briefing — 3 Oct
• Month-end delivery report with missed items and recovery owners — monthly</t>
  </si>
  <si>
    <t>PC-KR1.3</t>
  </si>
  <si>
    <t>The staff handbook and five priority policies (leave, hybrid work, incentives, recruitment, onboarding) are issued and acknowledged by 100% of employees by 31 October.</t>
  </si>
  <si>
    <t>Enabling</t>
  </si>
  <si>
    <t xml:space="preserve">• Final approval — CEO, 15 Oct
• Briefings and written acknowledgement — 31 Oct</t>
  </si>
  <si>
    <t>CO-O6 (no company KR)</t>
  </si>
  <si>
    <t>PC-O2   Digitise core HR and staff the critical roles.</t>
  </si>
  <si>
    <t>PC-KR2.1</t>
  </si>
  <si>
    <t>Leave, employee records and onboarding run end to end in a live HRIS by 31 December. Migrated records reconcile to the source files and the Excel files for those processes are retired. The remaining HR processes are inventoried, with owners and a Q1–Q2 2027 digitisation sequence.</t>
  </si>
  <si>
    <t>Enabling — first phase of HR digitisation</t>
  </si>
  <si>
    <t xml:space="preserve">• HR process inventory with owners, cycle times and risk ranking — 31 Oct
• HRIS shortlist, demos and selection against the inventory and approved budget — 20 Nov
• Configure leave, records and onboarding; migrate and reconcile employee records — 18 Dec
• Role-based access check and staff training — 31 Dec</t>
  </si>
  <si>
    <t>PC-KR2.2</t>
  </si>
  <si>
    <t>The CEO approves the customer-support role design, staffing and training by 15 October, and support staff are hired or assigned by 10 November.</t>
  </si>
  <si>
    <t xml:space="preserve">• Role, coverage and cost options — 10 Oct
• Hire or assign and train, with back-office Ops — 10 Nov</t>
  </si>
  <si>
    <t>PC-KR2.3</t>
  </si>
  <si>
    <t>A Head of Partnership is hired, with a signed offer and a start date, by 31 October.</t>
  </si>
  <si>
    <t xml:space="preserve">• Role profile and Q4 scorecard approved — CEO, 5 Oct
• Shortlist and interviews — CEO, 20 Oct
• Offer signed — 31 Oct
• Onboarding plan, including handover of the Ember2Remember calendar pipeline — from start date</t>
  </si>
  <si>
    <t>PC-K01</t>
  </si>
  <si>
    <t>Payroll input accuracy rate</t>
  </si>
  <si>
    <t>Payroll records accepted without a P&amp;C-caused correction ÷ records submitted</t>
  </si>
  <si>
    <t>Each payroll</t>
  </si>
  <si>
    <t>Payroll processor report</t>
  </si>
  <si>
    <t>PC-K02</t>
  </si>
  <si>
    <t>On-time payroll submission rate</t>
  </si>
  <si>
    <t>Payroll submissions accepted before the processor deadline ÷ submissions due</t>
  </si>
  <si>
    <t>PC-K03</t>
  </si>
  <si>
    <t>HR request resolution rate</t>
  </si>
  <si>
    <t>Leave, record and payroll queries resolved within 2 business days ÷ requests due</t>
  </si>
  <si>
    <t>HR request log (HRIS from go-live)</t>
  </si>
  <si>
    <t>PC-K04</t>
  </si>
  <si>
    <t>Day-one onboarding readiness rate</t>
  </si>
  <si>
    <t>New joiners with manager, system access, equipment and briefing ready on day one ÷ joiners</t>
  </si>
  <si>
    <t>Each intake</t>
  </si>
  <si>
    <t>Onboarding checklist</t>
  </si>
  <si>
    <t>PC-K05</t>
  </si>
  <si>
    <t>Unauthorised HR-record access incidents</t>
  </si>
  <si>
    <t>Confirmed incidents of HR records viewed, shared or changed without authority</t>
  </si>
  <si>
    <t>Access log; incident reports</t>
  </si>
  <si>
    <t>PC-K06</t>
  </si>
  <si>
    <t>On-time monthly function report rate</t>
  </si>
  <si>
    <t>Function reports (Target–Actual–Variance–Action) submitted by the 3rd business day ÷ reports due</t>
  </si>
  <si>
    <t>Commitment register</t>
  </si>
  <si>
    <t>What changed from the Sep–Dec revised draft, and why</t>
  </si>
  <si>
    <t>Area</t>
  </si>
  <si>
    <t>Revised draft</t>
  </si>
  <si>
    <t>This draft</t>
  </si>
  <si>
    <t>Reason</t>
  </si>
  <si>
    <t>Revenue</t>
  </si>
  <si>
    <t>₦500m earned in Q4, with ₦200m having no delivery case</t>
  </si>
  <si>
    <t>Q4 revenue ₦200m earned Oct–Dec (10% of ₦2bn plan-year revenue): ₦163.3m allocated by stream (CO-KR5.1), ₦30m pending CEO allocation</t>
  </si>
  <si>
    <t>Q4 is phased at 10% of the year like every other target; the earlier December-month figure took 10% of a run rate</t>
  </si>
  <si>
    <t>Ticketing</t>
  </si>
  <si>
    <t>₦75m revenue on ₦125m ticket value</t>
  </si>
  <si>
    <t>₦30m ticketing revenue in Q4 (10% of ₦300m), at an average contracted rate of at least 12% on ₦250m ticket value (PG-KR2.3)</t>
  </si>
  <si>
    <t>A 60% take rate is not plausible</t>
  </si>
  <si>
    <t>Reservations</t>
  </si>
  <si>
    <t>Live in both apps by 31 Oct; revenue targets pending</t>
  </si>
  <si>
    <t>Hotel and shortlet booking, restaurant booking and in-restaurant payment live in both apps by 30 Nov (P0); 250 stays and 150 restaurant partners signed by 31 Dec (PG-KR1.2, PG-KR1.3)</t>
  </si>
  <si>
    <t>The feature has to exist before revenue can be targeted</t>
  </si>
  <si>
    <t>Baselines</t>
  </si>
  <si>
    <t>MAU, contacts and retention measured against August</t>
  </si>
  <si>
    <t>Verified baseline by 31 Oct; analytics by 15 Nov; activation and month-2 return</t>
  </si>
  <si>
    <t>August can't be rebuilt on actions that were never recorded</t>
  </si>
  <si>
    <t>Retention</t>
  </si>
  <si>
    <t>60% at days 84–90 for the September cohort</t>
  </si>
  <si>
    <t>7-day activation and month-2 return in Q4; the 60% standard from Q1 2027</t>
  </si>
  <si>
    <t>No baseline, no tracking, and September activations can't be identified</t>
  </si>
  <si>
    <t>Cascade</t>
  </si>
  <si>
    <t>13 function KRs copied word for word from company KRs</t>
  </si>
  <si>
    <t>Each function KR is that function's own lever, and contributions add up</t>
  </si>
  <si>
    <t>Nobody owned the parts; P&amp;G and Marketing held company totals they couldn't control</t>
  </si>
  <si>
    <t>Retention ownership</t>
  </si>
  <si>
    <t>No owner; P&amp;G counted sign-ups</t>
  </si>
  <si>
    <t>Marketing owns acquisition, activation and repeat use from every channel, with a named lifecycle lead. P&amp;G is scored on supply, distribution placements and account revenue, not users</t>
  </si>
  <si>
    <t>Nobody made event sign-ups stay, and salespeople don't control what users do in the app</t>
  </si>
  <si>
    <t>Notifications</t>
  </si>
  <si>
    <t>Not addressed</t>
  </si>
  <si>
    <t>≤3 promotional pushes per user per week; caps and preference centre in the app</t>
  </si>
  <si>
    <t>About 300 a day observed; users turn off notifications or uninstall</t>
  </si>
  <si>
    <t>Exclusivity</t>
  </si>
  <si>
    <t>Offer count pending</t>
  </si>
  <si>
    <t>25 exclusive December events; an exclusive benefit in every partner's terms</t>
  </si>
  <si>
    <t>Customers need a reason to use the app rather than the alternatives</t>
  </si>
  <si>
    <t>Technology load</t>
  </si>
  <si>
    <t>15 KRs; six releases on 31 Oct and three on 30 Nov; Flex migration during the payment month</t>
  </si>
  <si>
    <t>Technology &amp; Back-office Ops holds 9 KRs on 3 objectives. All Q4 launches sit in one dated delivery KR (TBO-KR2.1) with a no-regression guard (TBO-KR2.2); Flex paused; December freeze</t>
  </si>
  <si>
    <t>The plan wasn't deliverable, and it put the December peak at risk</t>
  </si>
  <si>
    <t>KR/KPI duplicates</t>
  </si>
  <si>
    <t>Several KRs repeated as KPIs with the same targets</t>
  </si>
  <si>
    <t>No KPI repeats a KR</t>
  </si>
  <si>
    <t>Prevents crediting the same result twice</t>
  </si>
  <si>
    <t>Analytics</t>
  </si>
  <si>
    <t>Assumed an analytics source existed</t>
  </si>
  <si>
    <t>A product analytics tool is contracted by 15 Oct and live by 15 Nov; backend and provider records until then; activation and retention KRs marked contingent</t>
  </si>
  <si>
    <t>The company has no Mixpanel, Amplitude or equivalent</t>
  </si>
  <si>
    <t>Brand Book</t>
  </si>
  <si>
    <t>Initiative only</t>
  </si>
  <si>
    <t>BM-KR3.1: approved by 31 Oct; store pages, sites, social profiles and new assets conform by 15 Dec</t>
  </si>
  <si>
    <t>Management wants the work started in Q4</t>
  </si>
  <si>
    <t>HR digitisation</t>
  </si>
  <si>
    <t>Inventory and HRIS selection only</t>
  </si>
  <si>
    <t>PC-KR2.1: leave, records and onboarding live in an HRIS by 31 Dec; wider sequence for 2027</t>
  </si>
  <si>
    <t>KPI format</t>
  </si>
  <si>
    <t>Mixed sentence-style KPI wording</t>
  </si>
  <si>
    <t>Each KPI is a named measure with formula, unit, direction, target, frequency and data source</t>
  </si>
  <si>
    <t>KPIs track how well the function runs; KRs track change</t>
  </si>
  <si>
    <t>Customer support</t>
  </si>
  <si>
    <t>CEO decision pending</t>
  </si>
  <si>
    <t>Operations owns support (per team job areas); P&amp;C staffs it</t>
  </si>
  <si>
    <t>Operations' job area includes customer support</t>
  </si>
  <si>
    <t>Q4 capabilities (CEO priorities, 30 Sep)</t>
  </si>
  <si>
    <t>Stays pilot in MyLagosApp only; restaurants in Q1; redesign timing open</t>
  </si>
  <si>
    <t>P0 by 30 Nov: restaurant booking and in-restaurant payment, hotel booking in both apps, UI/UX redesign, BlueSalt v2. P1: merchant payment for other merchants (incl. in-store), FAAN taxi. CO-KR2.4; TBO-KR2.1</t>
  </si>
  <si>
    <t>CEO priority list</t>
  </si>
  <si>
    <t>Flex wallet</t>
  </si>
  <si>
    <t>Migration in January, go-live decision in Q4</t>
  </si>
  <si>
    <t>Paused; wallet stays on Sterling Embedly. Flex items removed</t>
  </si>
  <si>
    <t>CEO decision</t>
  </si>
  <si>
    <t>Market coverage</t>
  </si>
  <si>
    <t>Lagos first, Abuja for Q1</t>
  </si>
  <si>
    <t>Lagos, Abuja, Enugu, Kano, Ibadan, Abia State, Rivers State for events, stays and restaurants</t>
  </si>
  <si>
    <t>Ember2Remember calendar</t>
  </si>
  <si>
    <t>Not in the draft</t>
  </si>
  <si>
    <t>CO-KR3.3: PR &amp; Marketing own and publicise it (BM-KR2.2); Partnerships fill it (PG-KR3.2); Operations upload daily (TBO-K14)</t>
  </si>
  <si>
    <t>MTN partnership</t>
  </si>
  <si>
    <t>Over 16,000 activated users (more than 25% of 64,000) via MTN SMS, MTN app, shops and airport stands (BM-KR4.1)</t>
  </si>
  <si>
    <t>Tourism</t>
  </si>
  <si>
    <t>Loose Operations line on tourist discovery</t>
  </si>
  <si>
    <t>SeeNaija (MTNN initiative) is the tourism feature, with packages from Kayode Okikiolu and TourGuide (BM-KR4.2); Operations lists tourist locations (TBO-KR3.3)</t>
  </si>
  <si>
    <t>Promoters and advertising</t>
  </si>
  <si>
    <t>Organiser co-promotion only</t>
  </si>
  <si>
    <t>Promoters, starting with Showrunner, vend through MyCityApp and carry it on their materials (BM-KR2.3); MyCityApp website ad slots sold (PG-KR2.1); December plan, budget, Grow app and media-buyer check (BM-KR1.3)</t>
  </si>
  <si>
    <t>Organisation</t>
  </si>
  <si>
    <t>Operations reporting line unchanged</t>
  </si>
  <si>
    <t>Operations reports to the CTO and is consolidated with Technology into one function, Technology &amp; Back-office Ops, on one sheet; Head of Partnership hired by 31 Oct (PC-KR2.3)</t>
  </si>
  <si>
    <t>OKR shape</t>
  </si>
  <si>
    <t>Technology objective with 8 KRs (6 of them launch dates); single-KR objectives in Marketing and Partnerships; company objectives with up to 5 KRs, several repeating a function KR; 43 function KRs, 22 company KRs</t>
  </si>
  <si>
    <t>2–4 KRs per objective. Launches became initiatives under one dated delivery KR (TBO-KR2.1) with a no-regression guard (TBO-KR2.2); standing standards became KPIs (TBO-K15, BM-K14, BM-K15, BM-K16); KRs met before Q4 became completed initiatives; company KRs that only repeated a function KR were removed. 34 function KRs; 17 company KRs</t>
  </si>
  <si>
    <t>A KR is a result the function can be scored on; a launch date or a document is a deliverable</t>
  </si>
  <si>
    <t>Ticket value</t>
  </si>
  <si>
    <t>₦50m implied by the 10% rule</t>
  </si>
  <si>
    <t>₦250m Q4 paid-ticket value (CO-KR3.1); ticketing revenue held at ₦30m (PG-KR2.3)</t>
  </si>
  <si>
    <t>CEO decision 13: December festive push</t>
  </si>
  <si>
    <t>Active users</t>
  </si>
  <si>
    <t>+40,000 MAU from 40,000 activated users</t>
  </si>
  <si>
    <t>+40,000 MAU (CO-KR4.3) from 64,000 activated users (BM-KR1.3), over 16,000 of them from MTN (BM-KR4.1); about 160,000 verified downloads; funnel in Q4 Target Build</t>
  </si>
  <si>
    <t>Users activated in October and November do not all return in December (CEO decision 15)</t>
  </si>
  <si>
    <t>Marketing ticket share</t>
  </si>
  <si>
    <t>₦20m [TBC] (8% of ₦250m)</t>
  </si>
  <si>
    <t>₦100m: 40% of Q4 paid-ticket value through Marketing campaigns (BM-KR2.1)</t>
  </si>
  <si>
    <t>Restores the 40% share set when ticket value was ₦50m (CEO decision 15)</t>
  </si>
  <si>
    <t>Enterprise &amp; government revenue</t>
  </si>
  <si>
    <t>₦2.5m in December, no KR</t>
  </si>
  <si>
    <t>₦30m in Q4 (PG-KR2.4)</t>
  </si>
  <si>
    <t>10% of the ₦300m pillar had no owner</t>
  </si>
  <si>
    <t>Restaurant capabilities</t>
  </si>
  <si>
    <t>Restaurant booking P0; tracker shows reservation Parked</t>
  </si>
  <si>
    <t>Restaurant booking and in-restaurant payment both P0 (TBO-KR2.1, CO-KR2.4); restaurant terms cover both (PG-KR1.3)</t>
  </si>
  <si>
    <t>CEO decision 12</t>
  </si>
  <si>
    <t>Back-office dependencies</t>
  </si>
  <si>
    <t>Operations relied on automatic expiry and bulk upload that no Technology KR delivered</t>
  </si>
  <si>
    <t>Both are initiatives under TBO-KR3.1 and TBO-KR3.3, dated in the roadmap</t>
  </si>
  <si>
    <t>The same function now owns the dependency and the result</t>
  </si>
  <si>
    <t>Contributing KRs</t>
  </si>
  <si>
    <t>Company Contributing lists and function Linked lists disagreed on 12 company KRs</t>
  </si>
  <si>
    <t>The company Contributing column is built from the function links, so they always match</t>
  </si>
  <si>
    <t>Every function KR is counted where it feeds</t>
  </si>
  <si>
    <t>Initiative owners</t>
  </si>
  <si>
    <t>Staff names against each initiative</t>
  </si>
  <si>
    <t>Initiatives carry a date only; the KR accountable owner owns them; a role is named only where someone else must act</t>
  </si>
  <si>
    <t>Management request, 7 Oct</t>
  </si>
  <si>
    <t>Reporting and scoring</t>
  </si>
  <si>
    <t>No reporting columns</t>
  </si>
  <si>
    <t>Status, Actual and Update per KR, kept current; a score per month (Oct, Nov, Dec); KPI monthly actuals; Q4 Scorecard roll-up</t>
  </si>
  <si>
    <t>Function heads report and score their own KRs</t>
  </si>
  <si>
    <t>Former ID → new ID</t>
  </si>
  <si>
    <t>Former ID</t>
  </si>
  <si>
    <t>New ID</t>
  </si>
  <si>
    <t>Note</t>
  </si>
  <si>
    <t>Now a KPI</t>
  </si>
  <si>
    <t>BM-KR2.4</t>
  </si>
  <si>
    <t>BM-KR2.5</t>
  </si>
  <si>
    <t>Initiative under BM-KR1.3</t>
  </si>
  <si>
    <t>CO-KR1.3</t>
  </si>
  <si>
    <t>Roadmap is an initiative under CO-KR2.4</t>
  </si>
  <si>
    <t>Merged into CO-KR3.1</t>
  </si>
  <si>
    <t>CO-KR3.4</t>
  </si>
  <si>
    <t>Function KRs only: PG-KR1.2 and PG-KR1.3</t>
  </si>
  <si>
    <t>CO-KR3.5</t>
  </si>
  <si>
    <t>CO-KR4.5</t>
  </si>
  <si>
    <t>Function KR only</t>
  </si>
  <si>
    <t>CO-KR6.3</t>
  </si>
  <si>
    <t>Function KRs only: BM-KR3.1 and PC-KR2.1</t>
  </si>
  <si>
    <t>OP-K01</t>
  </si>
  <si>
    <t>OP-KR1.1</t>
  </si>
  <si>
    <t>Now a KPI (stale events)</t>
  </si>
  <si>
    <t>OP-KR1.2</t>
  </si>
  <si>
    <t>OP-K02</t>
  </si>
  <si>
    <t>OP-KR2.1</t>
  </si>
  <si>
    <t>OP-KR2.2</t>
  </si>
  <si>
    <t>OP-K03</t>
  </si>
  <si>
    <t>OP-KR3.1</t>
  </si>
  <si>
    <t>OP-K04</t>
  </si>
  <si>
    <t>OP-K05</t>
  </si>
  <si>
    <t>OP-K06</t>
  </si>
  <si>
    <t>OP-K07</t>
  </si>
  <si>
    <t>PC-KR1.4</t>
  </si>
  <si>
    <t>PC-KR1.5</t>
  </si>
  <si>
    <t>Initiative under PC-KR1.1</t>
  </si>
  <si>
    <t>PG-KR1.4</t>
  </si>
  <si>
    <t>TECH-KR1.1</t>
  </si>
  <si>
    <t>TECH-KR1.2</t>
  </si>
  <si>
    <t>TECH-KR1.3</t>
  </si>
  <si>
    <t>TECH-KR2.1</t>
  </si>
  <si>
    <t>LASG launch is a dated item in the delivery KR</t>
  </si>
  <si>
    <t>TECH-KR2.2</t>
  </si>
  <si>
    <t>Delivery KR</t>
  </si>
  <si>
    <t>TECH-KR2.3</t>
  </si>
  <si>
    <t>TECH-KR2.4</t>
  </si>
  <si>
    <t>TECH-KR2.5</t>
  </si>
  <si>
    <t>TECH-KR2.6</t>
  </si>
  <si>
    <t>Delivery KR; no-regression guard is TBO-KR2.2</t>
  </si>
  <si>
    <t>TECH-KR2.7</t>
  </si>
  <si>
    <t>TECH-KR2.8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</si>
</sst>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12" x14ac:knownFonts="1">
    <font>
      <color theme="1"/>
      <family val="2"/>
      <scheme val="minor"/>
      <sz val="11"/>
      <name val="Calibri"/>
    </font>
    <font>
      <b/>
      <color rgb="FF014239"/>
      <sz val="14"/>
      <name val="Arial"/>
    </font>
    <font>
      <color rgb="FF595959"/>
      <sz val="10"/>
      <name val="Arial"/>
    </font>
    <font>
      <b/>
      <color rgb="FF014239"/>
      <sz val="10"/>
      <name val="Arial"/>
    </font>
    <font/>
    <font>
      <b/>
      <color rgb="FFFFFFFF"/>
      <sz val="10"/>
      <name val="Arial"/>
    </font>
    <font>
      <b/>
      <color rgb="FF000000"/>
      <sz val="10"/>
      <name val="Arial"/>
    </font>
    <font>
      <color theme="1"/>
      <sz val="11"/>
      <name val="Calibri"/>
    </font>
    <font>
      <color rgb="FF000000"/>
      <sz val="10"/>
      <name val="Arial"/>
    </font>
    <font>
      <b/>
      <color rgb="FF014239"/>
      <sz val="12"/>
      <name val="Arial"/>
    </font>
    <font>
      <u/>
      <color rgb="FF000000"/>
      <sz val="10"/>
      <name val="Arial"/>
    </font>
    <font>
      <b/>
      <color theme="1"/>
      <sz val="10"/>
      <name val="Arial"/>
    </font>
  </fonts>
  <fills count="7">
    <fill>
      <patternFill patternType="none"/>
    </fill>
    <fill>
      <patternFill patternType="gray125"/>
    </fill>
    <fill>
      <patternFill patternType="solid">
        <fgColor rgb="FFFFD200"/>
        <bgColor rgb="FFFFD200"/>
      </patternFill>
    </fill>
    <fill>
      <patternFill patternType="solid">
        <fgColor rgb="FF014239"/>
        <bgColor rgb="FF014239"/>
      </patternFill>
    </fill>
    <fill>
      <patternFill patternType="solid">
        <fgColor rgb="FFE3EEEA"/>
        <bgColor rgb="FFE3EEEA"/>
      </patternFill>
    </fill>
    <fill>
      <patternFill patternType="solid">
        <fgColor rgb="FFF2F2F2"/>
        <bgColor rgb="FFF2F2F2"/>
      </patternFill>
    </fill>
    <fill>
      <patternFill patternType="solid">
        <fgColor rgb="FFFFFF00"/>
        <bgColor rgb="FFFFFF00"/>
      </patternFill>
    </fill>
  </fills>
  <borders count="5">
    <border>
      <left/>
      <right/>
      <top/>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4">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xf>
    <xf numFmtId="0" fontId="4" fillId="0" borderId="2" xfId="0" applyFont="1" applyBorder="1"/>
    <xf numFmtId="0" fontId="4" fillId="0" borderId="3" xfId="0" applyFont="1" applyBorder="1"/>
    <xf numFmtId="0" fontId="5" fillId="3" borderId="4" xfId="0" applyFont="1" applyFill="1" applyBorder="1" applyAlignment="1">
      <alignment vertical="top" wrapText="1"/>
    </xf>
    <xf numFmtId="0" fontId="6" fillId="4" borderId="0" xfId="0" applyFont="1" applyFill="1" applyAlignment="1">
      <alignment vertical="top" wrapText="1"/>
    </xf>
    <xf numFmtId="0" fontId="4" fillId="0" borderId="0" xfId="0" applyFont="1"/>
    <xf numFmtId="0" fontId="7" fillId="4" borderId="0" xfId="0" applyFont="1" applyFill="1"/>
    <xf numFmtId="2" fontId="6" fillId="4" borderId="4" xfId="0" applyNumberFormat="1" applyFont="1" applyFill="1" applyBorder="1" applyAlignment="1">
      <alignment horizontal="center" vertical="top" wrapText="1"/>
    </xf>
    <xf numFmtId="0" fontId="8" fillId="0" borderId="4" xfId="0" applyFont="1" applyBorder="1" applyAlignment="1">
      <alignment vertical="top" wrapText="1"/>
    </xf>
    <xf numFmtId="164" fontId="8" fillId="0" borderId="4" xfId="0" applyNumberFormat="1" applyFont="1" applyBorder="1" applyAlignment="1">
      <alignment vertical="top" wrapText="1"/>
    </xf>
    <xf numFmtId="0" fontId="8" fillId="0" borderId="4" xfId="0" applyFont="1" applyBorder="1" applyAlignment="1">
      <alignment horizontal="center" vertical="top" wrapText="1"/>
    </xf>
    <xf numFmtId="2" fontId="8" fillId="0" borderId="4" xfId="0" applyNumberFormat="1" applyFont="1" applyBorder="1" applyAlignment="1">
      <alignment horizontal="center" vertical="top" wrapText="1"/>
    </xf>
    <xf numFmtId="0" fontId="8" fillId="5" borderId="4" xfId="0" applyFont="1" applyFill="1" applyBorder="1" applyAlignment="1">
      <alignment horizontal="center" vertical="top" wrapText="1"/>
    </xf>
    <xf numFmtId="0" fontId="8" fillId="5" borderId="4" xfId="0" applyFont="1" applyFill="1" applyBorder="1" applyAlignment="1">
      <alignment vertical="top" wrapText="1"/>
    </xf>
    <xf numFmtId="2" fontId="8" fillId="5" borderId="4" xfId="0" applyNumberFormat="1" applyFont="1" applyFill="1" applyBorder="1" applyAlignment="1">
      <alignment horizontal="center" vertical="top" wrapText="1"/>
    </xf>
    <xf numFmtId="0" fontId="8" fillId="6" borderId="4" xfId="0" applyFont="1" applyFill="1" applyBorder="1" applyAlignment="1">
      <alignment vertical="top" wrapText="1"/>
    </xf>
    <xf numFmtId="0" fontId="9" fillId="0" borderId="0" xfId="0" applyFont="1"/>
    <xf numFmtId="0" fontId="10" fillId="0" borderId="4" xfId="0" applyFont="1" applyBorder="1" applyAlignment="1">
      <alignment vertical="top" wrapText="1" readingOrder="1"/>
    </xf>
    <xf numFmtId="0" fontId="1" fillId="0" borderId="0" xfId="0" applyFont="1" applyAlignment="1">
      <alignment vertical="top"/>
    </xf>
    <xf numFmtId="0" fontId="2" fillId="0" borderId="0" xfId="0" applyFont="1" applyAlignment="1">
      <alignment vertical="top"/>
    </xf>
    <xf numFmtId="0" fontId="11" fillId="0" borderId="4" xfId="0" applyFont="1" applyBorder="1" applyAlignment="1">
      <alignment vertical="top" wrapText="1"/>
    </xf>
  </cellXfs>
  <cellStyles count="1">
    <cellStyle name="Normal" xfId="0" builtinId="0"/>
  </cellStyles>
  <dxfs count="78">
    <dxf>
      <font>
        <color rgb="FF006100"/>
        <sz val="10"/>
        <name val="Arial"/>
      </font>
      <fill>
        <patternFill patternType="solid">
          <fgColor rgb="FFC6EFCE"/>
          <bgColor rgb="FFC6EFCE"/>
        </patternFill>
      </fill>
      <border>
        <left/>
        <right/>
        <top/>
        <bottom/>
        <diagonal/>
      </border>
    </dxf>
    <dxf>
      <font>
        <color rgb="FF006100"/>
        <sz val="10"/>
        <name val="Arial"/>
      </font>
      <fill>
        <patternFill patternType="solid">
          <fgColor rgb="FFC6EFCE"/>
          <bgColor rgb="FFC6EFCE"/>
        </patternFill>
      </fill>
      <border>
        <left/>
        <right/>
        <top/>
        <bottom/>
        <diagonal/>
      </border>
    </dxf>
    <dxf>
      <font>
        <color rgb="FF006100"/>
        <sz val="10"/>
        <name val="Arial"/>
      </font>
      <fill>
        <patternFill patternType="solid">
          <fgColor rgb="FFC6EFCE"/>
          <bgColor rgb="FFC6EFCE"/>
        </patternFill>
      </fill>
      <border>
        <left/>
        <right/>
        <top/>
        <bottom/>
        <diagonal/>
      </border>
    </dxf>
    <dxf>
      <font>
        <color rgb="FF9C5700"/>
        <sz val="10"/>
        <name val="Arial"/>
      </font>
      <fill>
        <patternFill patternType="solid">
          <fgColor rgb="FFFFEB9C"/>
          <bgColor rgb="FFFFEB9C"/>
        </patternFill>
      </fill>
      <border>
        <left/>
        <right/>
        <top/>
        <bottom/>
        <diagonal/>
      </border>
    </dxf>
    <dxf>
      <font>
        <color rgb="FF9C0006"/>
        <sz val="10"/>
        <name val="Arial"/>
      </font>
      <fill>
        <patternFill patternType="solid">
          <fgColor rgb="FFFFC7CE"/>
          <bgColor rgb="FFFFC7CE"/>
        </patternFill>
      </fill>
      <border>
        <left/>
        <right/>
        <top/>
        <bottom/>
        <diagonal/>
      </border>
    </dxf>
    <dxf>
      <font>
        <color rgb="FF9C0006"/>
        <sz val="10"/>
        <name val="Arial"/>
      </font>
      <fill>
        <patternFill patternType="solid">
          <fgColor rgb="FFFFC7CE"/>
          <bgColor rgb="FFFFC7CE"/>
        </patternFill>
      </fill>
      <border>
        <left/>
        <right/>
        <top/>
        <bottom/>
        <diagonal/>
      </border>
    </dxf>
    <dxf>
      <font>
        <color rgb="FF9C0006"/>
        <sz val="10"/>
        <name val="Arial"/>
      </font>
      <fill>
        <patternFill patternType="solid">
          <fgColor rgb="FFFFC7CE"/>
          <bgColor rgb="FFFFC7CE"/>
        </patternFill>
      </fill>
      <border>
        <left/>
        <right/>
        <top/>
        <bottom/>
        <diagonal/>
      </border>
    </dxf>
    <dxf>
      <font>
        <color rgb="FF006100"/>
        <sz val="10"/>
        <name val="Arial"/>
      </font>
      <fill>
        <patternFill patternType="solid">
          <fgColor rgb="FFC6EFCE"/>
          <bgColor rgb="FFC6EFCE"/>
        </patternFill>
      </fill>
      <border>
        <left/>
        <right/>
        <top/>
        <bottom/>
        <diagonal/>
      </border>
    </dxf>
    <dxf>
      <font>
        <color rgb="FF9C5700"/>
        <sz val="10"/>
        <name val="Arial"/>
      </font>
      <fill>
        <patternFill patternType="solid">
          <fgColor rgb="FFFFEB9C"/>
          <bgColor rgb="FFFFEB9C"/>
        </patternFill>
      </fill>
      <border>
        <left/>
        <right/>
        <top/>
        <bottom/>
        <diagonal/>
      </border>
    </dxf>
    <dxf>
      <font>
        <color rgb="FF9C0006"/>
        <sz val="10"/>
        <name val="Arial"/>
      </font>
      <fill>
        <patternFill patternType="solid">
          <fgColor rgb="FFFFC7CE"/>
          <bgColor rgb="FFFFC7CE"/>
        </patternFill>
      </fill>
      <border>
        <left/>
        <right/>
        <top/>
        <bottom/>
        <diagonal/>
      </border>
    </dxf>
    <dxf>
      <font>
        <color rgb="FF006100"/>
        <sz val="10"/>
        <name val="Arial"/>
      </font>
      <fill>
        <patternFill patternType="solid">
          <fgColor rgb="FFC6EFCE"/>
          <bgColor rgb="FFC6EFCE"/>
        </patternFill>
      </fill>
      <border>
        <left/>
        <right/>
        <top/>
        <bottom/>
        <diagonal/>
      </border>
    </dxf>
    <dxf>
      <font>
        <color rgb="FF006100"/>
        <sz val="10"/>
        <name val="Arial"/>
      </font>
      <fill>
        <patternFill patternType="solid">
          <fgColor rgb="FFC6EFCE"/>
          <bgColor rgb="FFC6EFCE"/>
        </patternFill>
      </fill>
      <border>
        <left/>
        <right/>
        <top/>
        <bottom/>
        <diagonal/>
      </border>
    </dxf>
    <dxf>
      <font>
        <color rgb="FF006100"/>
        <sz val="10"/>
        <name val="Arial"/>
      </font>
      <fill>
        <patternFill patternType="solid">
          <fgColor rgb="FFC6EFCE"/>
          <bgColor rgb="FFC6EFCE"/>
        </patternFill>
      </fill>
      <border>
        <left/>
        <right/>
        <top/>
        <bottom/>
        <diagonal/>
      </border>
    </dxf>
    <dxf>
      <font>
        <color rgb="FF9C5700"/>
        <sz val="10"/>
        <name val="Arial"/>
      </font>
      <fill>
        <patternFill patternType="solid">
          <fgColor rgb="FFFFEB9C"/>
          <bgColor rgb="FFFFEB9C"/>
        </patternFill>
      </fill>
      <border>
        <left/>
        <right/>
        <top/>
        <bottom/>
        <diagonal/>
      </border>
    </dxf>
    <dxf>
      <font>
        <color rgb="FF9C0006"/>
        <sz val="10"/>
        <name val="Arial"/>
      </font>
      <fill>
        <patternFill patternType="solid">
          <fgColor rgb="FFFFC7CE"/>
          <bgColor rgb="FFFFC7CE"/>
        </patternFill>
      </fill>
      <border>
        <left/>
        <right/>
        <top/>
        <bottom/>
        <diagonal/>
      </border>
    </dxf>
    <dxf>
      <font>
        <color rgb="FF9C0006"/>
        <sz val="10"/>
        <name val="Arial"/>
      </font>
      <fill>
        <patternFill patternType="solid">
          <fgColor rgb="FFFFC7CE"/>
          <bgColor rgb="FFFFC7CE"/>
        </patternFill>
      </fill>
      <border>
        <left/>
        <right/>
        <top/>
        <bottom/>
        <diagonal/>
      </border>
    </dxf>
    <dxf>
      <font>
        <color rgb="FF9C0006"/>
        <sz val="10"/>
        <name val="Arial"/>
      </font>
      <fill>
        <patternFill patternType="solid">
          <fgColor rgb="FFFFC7CE"/>
          <bgColor rgb="FFFFC7CE"/>
        </patternFill>
      </fill>
      <border>
        <left/>
        <right/>
        <top/>
        <bottom/>
        <diagonal/>
      </border>
    </dxf>
    <dxf>
      <font>
        <color rgb="FF006100"/>
        <sz val="10"/>
        <name val="Arial"/>
      </font>
      <fill>
        <patternFill patternType="solid">
          <fgColor rgb="FFC6EFCE"/>
          <bgColor rgb="FFC6EFCE"/>
        </patternFill>
      </fill>
      <border>
        <left/>
        <right/>
        <top/>
        <bottom/>
        <diagonal/>
      </border>
    </dxf>
    <dxf>
      <font>
        <color rgb="FF006100"/>
        <sz val="10"/>
        <name val="Arial"/>
      </font>
      <fill>
        <patternFill patternType="solid">
          <fgColor rgb="FFC6EFCE"/>
          <bgColor rgb="FFC6EFCE"/>
        </patternFill>
      </fill>
      <border>
        <left/>
        <right/>
        <top/>
        <bottom/>
        <diagonal/>
      </border>
    </dxf>
    <dxf>
      <font>
        <color rgb="FF006100"/>
        <sz val="10"/>
        <name val="Arial"/>
      </font>
      <fill>
        <patternFill patternType="solid">
          <fgColor rgb="FFC6EFCE"/>
          <bgColor rgb="FFC6EFCE"/>
        </patternFill>
      </fill>
      <border>
        <left/>
        <right/>
        <top/>
        <bottom/>
        <diagonal/>
      </border>
    </dxf>
    <dxf>
      <font>
        <color rgb="FF9C5700"/>
        <sz val="10"/>
        <name val="Arial"/>
      </font>
      <fill>
        <patternFill patternType="solid">
          <fgColor rgb="FFFFEB9C"/>
          <bgColor rgb="FFFFEB9C"/>
        </patternFill>
      </fill>
      <border>
        <left/>
        <right/>
        <top/>
        <bottom/>
        <diagonal/>
      </border>
    </dxf>
    <dxf>
      <font>
        <color rgb="FF9C0006"/>
        <sz val="10"/>
        <name val="Arial"/>
      </font>
      <fill>
        <patternFill patternType="solid">
          <fgColor rgb="FFFFC7CE"/>
          <bgColor rgb="FFFFC7CE"/>
        </patternFill>
      </fill>
      <border>
        <left/>
        <right/>
        <top/>
        <bottom/>
        <diagonal/>
      </border>
    </dxf>
    <dxf>
      <font>
        <color rgb="FF9C0006"/>
        <sz val="10"/>
        <name val="Arial"/>
      </font>
      <fill>
        <patternFill patternType="solid">
          <fgColor rgb="FFFFC7CE"/>
          <bgColor rgb="FFFFC7CE"/>
        </patternFill>
      </fill>
      <border>
        <left/>
        <right/>
        <top/>
        <bottom/>
        <diagonal/>
      </border>
    </dxf>
    <dxf>
      <font>
        <color rgb="FF9C0006"/>
        <sz val="10"/>
        <name val="Arial"/>
      </font>
      <fill>
        <patternFill patternType="solid">
          <fgColor rgb="FFFFC7CE"/>
          <bgColor rgb="FFFFC7CE"/>
        </patternFill>
      </fill>
      <border>
        <left/>
        <right/>
        <top/>
        <bottom/>
        <diagonal/>
      </border>
    </dxf>
    <dxf>
      <font>
        <color rgb="FF006100"/>
        <sz val="10"/>
        <name val="Arial"/>
      </font>
      <fill>
        <patternFill patternType="solid">
          <fgColor rgb="FFC6EFCE"/>
          <bgColor rgb="FFC6EFCE"/>
        </patternFill>
      </fill>
      <border>
        <left/>
        <right/>
        <top/>
        <bottom/>
        <diagonal/>
      </border>
    </dxf>
    <dxf>
      <font>
        <color rgb="FF9C5700"/>
        <sz val="10"/>
        <name val="Arial"/>
      </font>
      <fill>
        <patternFill patternType="solid">
          <fgColor rgb="FFFFEB9C"/>
          <bgColor rgb="FFFFEB9C"/>
        </patternFill>
      </fill>
      <border>
        <left/>
        <right/>
        <top/>
        <bottom/>
        <diagonal/>
      </border>
    </dxf>
    <dxf>
      <font>
        <color rgb="FF9C0006"/>
        <sz val="10"/>
        <name val="Arial"/>
      </font>
      <fill>
        <patternFill patternType="solid">
          <fgColor rgb="FFFFC7CE"/>
          <bgColor rgb="FFFFC7CE"/>
        </patternFill>
      </fill>
      <border>
        <left/>
        <right/>
        <top/>
        <bottom/>
        <diagonal/>
      </border>
    </dxf>
    <dxf>
      <font>
        <color rgb="FF006100"/>
        <sz val="10"/>
        <name val="Arial"/>
      </font>
      <fill>
        <patternFill patternType="solid">
          <fgColor rgb="FFC6EFCE"/>
          <bgColor rgb="FFC6EFCE"/>
        </patternFill>
      </fill>
      <border>
        <left/>
        <right/>
        <top/>
        <bottom/>
        <diagonal/>
      </border>
    </dxf>
    <dxf>
      <font>
        <color rgb="FF006100"/>
        <sz val="10"/>
        <name val="Arial"/>
      </font>
      <fill>
        <patternFill patternType="solid">
          <fgColor rgb="FFC6EFCE"/>
          <bgColor rgb="FFC6EFCE"/>
        </patternFill>
      </fill>
      <border>
        <left/>
        <right/>
        <top/>
        <bottom/>
        <diagonal/>
      </border>
    </dxf>
    <dxf>
      <font>
        <color rgb="FF006100"/>
        <sz val="10"/>
        <name val="Arial"/>
      </font>
      <fill>
        <patternFill patternType="solid">
          <fgColor rgb="FFC6EFCE"/>
          <bgColor rgb="FFC6EFCE"/>
        </patternFill>
      </fill>
      <border>
        <left/>
        <right/>
        <top/>
        <bottom/>
        <diagonal/>
      </border>
    </dxf>
    <dxf>
      <font>
        <color rgb="FF9C5700"/>
        <sz val="10"/>
        <name val="Arial"/>
      </font>
      <fill>
        <patternFill patternType="solid">
          <fgColor rgb="FFFFEB9C"/>
          <bgColor rgb="FFFFEB9C"/>
        </patternFill>
      </fill>
      <border>
        <left/>
        <right/>
        <top/>
        <bottom/>
        <diagonal/>
      </border>
    </dxf>
    <dxf>
      <font>
        <color rgb="FF9C0006"/>
        <sz val="10"/>
        <name val="Arial"/>
      </font>
      <fill>
        <patternFill patternType="solid">
          <fgColor rgb="FFFFC7CE"/>
          <bgColor rgb="FFFFC7CE"/>
        </patternFill>
      </fill>
      <border>
        <left/>
        <right/>
        <top/>
        <bottom/>
        <diagonal/>
      </border>
    </dxf>
    <dxf>
      <font>
        <color rgb="FF9C0006"/>
        <sz val="10"/>
        <name val="Arial"/>
      </font>
      <fill>
        <patternFill patternType="solid">
          <fgColor rgb="FFFFC7CE"/>
          <bgColor rgb="FFFFC7CE"/>
        </patternFill>
      </fill>
      <border>
        <left/>
        <right/>
        <top/>
        <bottom/>
        <diagonal/>
      </border>
    </dxf>
    <dxf>
      <font>
        <color rgb="FF9C0006"/>
        <sz val="10"/>
        <name val="Arial"/>
      </font>
      <fill>
        <patternFill patternType="solid">
          <fgColor rgb="FFFFC7CE"/>
          <bgColor rgb="FFFFC7CE"/>
        </patternFill>
      </fill>
      <border>
        <left/>
        <right/>
        <top/>
        <bottom/>
        <diagonal/>
      </border>
    </dxf>
    <dxf>
      <font>
        <color rgb="FF006100"/>
        <sz val="10"/>
        <name val="Arial"/>
      </font>
      <fill>
        <patternFill patternType="solid">
          <fgColor rgb="FFC6EFCE"/>
          <bgColor rgb="FFC6EFCE"/>
        </patternFill>
      </fill>
      <border>
        <left/>
        <right/>
        <top/>
        <bottom/>
        <diagonal/>
      </border>
    </dxf>
    <dxf>
      <font>
        <color rgb="FF006100"/>
        <sz val="10"/>
        <name val="Arial"/>
      </font>
      <fill>
        <patternFill patternType="solid">
          <fgColor rgb="FFC6EFCE"/>
          <bgColor rgb="FFC6EFCE"/>
        </patternFill>
      </fill>
      <border>
        <left/>
        <right/>
        <top/>
        <bottom/>
        <diagonal/>
      </border>
    </dxf>
    <dxf>
      <font>
        <color rgb="FF006100"/>
        <sz val="10"/>
        <name val="Arial"/>
      </font>
      <fill>
        <patternFill patternType="solid">
          <fgColor rgb="FFC6EFCE"/>
          <bgColor rgb="FFC6EFCE"/>
        </patternFill>
      </fill>
      <border>
        <left/>
        <right/>
        <top/>
        <bottom/>
        <diagonal/>
      </border>
    </dxf>
    <dxf>
      <font>
        <color rgb="FF9C5700"/>
        <sz val="10"/>
        <name val="Arial"/>
      </font>
      <fill>
        <patternFill patternType="solid">
          <fgColor rgb="FFFFEB9C"/>
          <bgColor rgb="FFFFEB9C"/>
        </patternFill>
      </fill>
      <border>
        <left/>
        <right/>
        <top/>
        <bottom/>
        <diagonal/>
      </border>
    </dxf>
    <dxf>
      <font>
        <color rgb="FF9C0006"/>
        <sz val="10"/>
        <name val="Arial"/>
      </font>
      <fill>
        <patternFill patternType="solid">
          <fgColor rgb="FFFFC7CE"/>
          <bgColor rgb="FFFFC7CE"/>
        </patternFill>
      </fill>
      <border>
        <left/>
        <right/>
        <top/>
        <bottom/>
        <diagonal/>
      </border>
    </dxf>
    <dxf>
      <font>
        <color rgb="FF9C0006"/>
        <sz val="10"/>
        <name val="Arial"/>
      </font>
      <fill>
        <patternFill patternType="solid">
          <fgColor rgb="FFFFC7CE"/>
          <bgColor rgb="FFFFC7CE"/>
        </patternFill>
      </fill>
      <border>
        <left/>
        <right/>
        <top/>
        <bottom/>
        <diagonal/>
      </border>
    </dxf>
    <dxf>
      <font>
        <color rgb="FF9C0006"/>
        <sz val="10"/>
        <name val="Arial"/>
      </font>
      <fill>
        <patternFill patternType="solid">
          <fgColor rgb="FFFFC7CE"/>
          <bgColor rgb="FFFFC7CE"/>
        </patternFill>
      </fill>
      <border>
        <left/>
        <right/>
        <top/>
        <bottom/>
        <diagonal/>
      </border>
    </dxf>
    <dxf>
      <font>
        <color rgb="FF006100"/>
        <sz val="10"/>
        <name val="Arial"/>
      </font>
      <fill>
        <patternFill patternType="solid">
          <fgColor rgb="FFC6EFCE"/>
          <bgColor rgb="FFC6EFCE"/>
        </patternFill>
      </fill>
      <border>
        <left/>
        <right/>
        <top/>
        <bottom/>
        <diagonal/>
      </border>
    </dxf>
    <dxf>
      <font>
        <color rgb="FF9C5700"/>
        <sz val="10"/>
        <name val="Arial"/>
      </font>
      <fill>
        <patternFill patternType="solid">
          <fgColor rgb="FFFFEB9C"/>
          <bgColor rgb="FFFFEB9C"/>
        </patternFill>
      </fill>
      <border>
        <left/>
        <right/>
        <top/>
        <bottom/>
        <diagonal/>
      </border>
    </dxf>
    <dxf>
      <font>
        <color rgb="FF9C0006"/>
        <sz val="10"/>
        <name val="Arial"/>
      </font>
      <fill>
        <patternFill patternType="solid">
          <fgColor rgb="FFFFC7CE"/>
          <bgColor rgb="FFFFC7CE"/>
        </patternFill>
      </fill>
      <border>
        <left/>
        <right/>
        <top/>
        <bottom/>
        <diagonal/>
      </border>
    </dxf>
    <dxf>
      <font>
        <color rgb="FF006100"/>
        <sz val="10"/>
        <name val="Arial"/>
      </font>
      <fill>
        <patternFill patternType="solid">
          <fgColor rgb="FFC6EFCE"/>
          <bgColor rgb="FFC6EFCE"/>
        </patternFill>
      </fill>
      <border>
        <left/>
        <right/>
        <top/>
        <bottom/>
        <diagonal/>
      </border>
    </dxf>
    <dxf>
      <font>
        <color rgb="FF006100"/>
        <sz val="10"/>
        <name val="Arial"/>
      </font>
      <fill>
        <patternFill patternType="solid">
          <fgColor rgb="FFC6EFCE"/>
          <bgColor rgb="FFC6EFCE"/>
        </patternFill>
      </fill>
      <border>
        <left/>
        <right/>
        <top/>
        <bottom/>
        <diagonal/>
      </border>
    </dxf>
    <dxf>
      <font>
        <color rgb="FF006100"/>
        <sz val="10"/>
        <name val="Arial"/>
      </font>
      <fill>
        <patternFill patternType="solid">
          <fgColor rgb="FFC6EFCE"/>
          <bgColor rgb="FFC6EFCE"/>
        </patternFill>
      </fill>
      <border>
        <left/>
        <right/>
        <top/>
        <bottom/>
        <diagonal/>
      </border>
    </dxf>
    <dxf>
      <font>
        <color rgb="FF9C5700"/>
        <sz val="10"/>
        <name val="Arial"/>
      </font>
      <fill>
        <patternFill patternType="solid">
          <fgColor rgb="FFFFEB9C"/>
          <bgColor rgb="FFFFEB9C"/>
        </patternFill>
      </fill>
      <border>
        <left/>
        <right/>
        <top/>
        <bottom/>
        <diagonal/>
      </border>
    </dxf>
    <dxf>
      <font>
        <color rgb="FF9C0006"/>
        <sz val="10"/>
        <name val="Arial"/>
      </font>
      <fill>
        <patternFill patternType="solid">
          <fgColor rgb="FFFFC7CE"/>
          <bgColor rgb="FFFFC7CE"/>
        </patternFill>
      </fill>
      <border>
        <left/>
        <right/>
        <top/>
        <bottom/>
        <diagonal/>
      </border>
    </dxf>
    <dxf>
      <font>
        <color rgb="FF9C0006"/>
        <sz val="10"/>
        <name val="Arial"/>
      </font>
      <fill>
        <patternFill patternType="solid">
          <fgColor rgb="FFFFC7CE"/>
          <bgColor rgb="FFFFC7CE"/>
        </patternFill>
      </fill>
      <border>
        <left/>
        <right/>
        <top/>
        <bottom/>
        <diagonal/>
      </border>
    </dxf>
    <dxf>
      <font>
        <color rgb="FF9C0006"/>
        <sz val="10"/>
        <name val="Arial"/>
      </font>
      <fill>
        <patternFill patternType="solid">
          <fgColor rgb="FFFFC7CE"/>
          <bgColor rgb="FFFFC7CE"/>
        </patternFill>
      </fill>
      <border>
        <left/>
        <right/>
        <top/>
        <bottom/>
        <diagonal/>
      </border>
    </dxf>
    <dxf>
      <font>
        <color rgb="FF006100"/>
        <sz val="10"/>
        <name val="Arial"/>
      </font>
      <fill>
        <patternFill patternType="solid">
          <fgColor rgb="FFC6EFCE"/>
          <bgColor rgb="FFC6EFCE"/>
        </patternFill>
      </fill>
      <border>
        <left/>
        <right/>
        <top/>
        <bottom/>
        <diagonal/>
      </border>
    </dxf>
    <dxf>
      <font>
        <color rgb="FF006100"/>
        <sz val="10"/>
        <name val="Arial"/>
      </font>
      <fill>
        <patternFill patternType="solid">
          <fgColor rgb="FFC6EFCE"/>
          <bgColor rgb="FFC6EFCE"/>
        </patternFill>
      </fill>
      <border>
        <left/>
        <right/>
        <top/>
        <bottom/>
        <diagonal/>
      </border>
    </dxf>
    <dxf>
      <font>
        <color rgb="FF006100"/>
        <sz val="10"/>
        <name val="Arial"/>
      </font>
      <fill>
        <patternFill patternType="solid">
          <fgColor rgb="FFC6EFCE"/>
          <bgColor rgb="FFC6EFCE"/>
        </patternFill>
      </fill>
      <border>
        <left/>
        <right/>
        <top/>
        <bottom/>
        <diagonal/>
      </border>
    </dxf>
    <dxf>
      <font>
        <color rgb="FF9C5700"/>
        <sz val="10"/>
        <name val="Arial"/>
      </font>
      <fill>
        <patternFill patternType="solid">
          <fgColor rgb="FFFFEB9C"/>
          <bgColor rgb="FFFFEB9C"/>
        </patternFill>
      </fill>
      <border>
        <left/>
        <right/>
        <top/>
        <bottom/>
        <diagonal/>
      </border>
    </dxf>
    <dxf>
      <font>
        <color rgb="FF9C0006"/>
        <sz val="10"/>
        <name val="Arial"/>
      </font>
      <fill>
        <patternFill patternType="solid">
          <fgColor rgb="FFFFC7CE"/>
          <bgColor rgb="FFFFC7CE"/>
        </patternFill>
      </fill>
      <border>
        <left/>
        <right/>
        <top/>
        <bottom/>
        <diagonal/>
      </border>
    </dxf>
    <dxf>
      <font>
        <color rgb="FF9C0006"/>
        <sz val="10"/>
        <name val="Arial"/>
      </font>
      <fill>
        <patternFill patternType="solid">
          <fgColor rgb="FFFFC7CE"/>
          <bgColor rgb="FFFFC7CE"/>
        </patternFill>
      </fill>
      <border>
        <left/>
        <right/>
        <top/>
        <bottom/>
        <diagonal/>
      </border>
    </dxf>
    <dxf>
      <font>
        <color rgb="FF9C0006"/>
        <sz val="10"/>
        <name val="Arial"/>
      </font>
      <fill>
        <patternFill patternType="solid">
          <fgColor rgb="FFFFC7CE"/>
          <bgColor rgb="FFFFC7CE"/>
        </patternFill>
      </fill>
      <border>
        <left/>
        <right/>
        <top/>
        <bottom/>
        <diagonal/>
      </border>
    </dxf>
    <dxf>
      <font>
        <color rgb="FF006100"/>
        <sz val="10"/>
        <name val="Arial"/>
      </font>
      <fill>
        <patternFill patternType="solid">
          <fgColor rgb="FFC6EFCE"/>
          <bgColor rgb="FFC6EFCE"/>
        </patternFill>
      </fill>
      <border>
        <left/>
        <right/>
        <top/>
        <bottom/>
        <diagonal/>
      </border>
    </dxf>
    <dxf>
      <font>
        <color rgb="FF9C5700"/>
        <sz val="10"/>
        <name val="Arial"/>
      </font>
      <fill>
        <patternFill patternType="solid">
          <fgColor rgb="FFFFEB9C"/>
          <bgColor rgb="FFFFEB9C"/>
        </patternFill>
      </fill>
      <border>
        <left/>
        <right/>
        <top/>
        <bottom/>
        <diagonal/>
      </border>
    </dxf>
    <dxf>
      <font>
        <color rgb="FF9C0006"/>
        <sz val="10"/>
        <name val="Arial"/>
      </font>
      <fill>
        <patternFill patternType="solid">
          <fgColor rgb="FFFFC7CE"/>
          <bgColor rgb="FFFFC7CE"/>
        </patternFill>
      </fill>
      <border>
        <left/>
        <right/>
        <top/>
        <bottom/>
        <diagonal/>
      </border>
    </dxf>
    <dxf>
      <font>
        <color rgb="FF006100"/>
        <sz val="10"/>
        <name val="Arial"/>
      </font>
      <fill>
        <patternFill patternType="solid">
          <fgColor rgb="FFC6EFCE"/>
          <bgColor rgb="FFC6EFCE"/>
        </patternFill>
      </fill>
      <border>
        <left/>
        <right/>
        <top/>
        <bottom/>
        <diagonal/>
      </border>
    </dxf>
    <dxf>
      <font>
        <color rgb="FF006100"/>
        <sz val="10"/>
        <name val="Arial"/>
      </font>
      <fill>
        <patternFill patternType="solid">
          <fgColor rgb="FFC6EFCE"/>
          <bgColor rgb="FFC6EFCE"/>
        </patternFill>
      </fill>
      <border>
        <left/>
        <right/>
        <top/>
        <bottom/>
        <diagonal/>
      </border>
    </dxf>
    <dxf>
      <font>
        <color rgb="FF006100"/>
        <sz val="10"/>
        <name val="Arial"/>
      </font>
      <fill>
        <patternFill patternType="solid">
          <fgColor rgb="FFC6EFCE"/>
          <bgColor rgb="FFC6EFCE"/>
        </patternFill>
      </fill>
      <border>
        <left/>
        <right/>
        <top/>
        <bottom/>
        <diagonal/>
      </border>
    </dxf>
    <dxf>
      <font>
        <color rgb="FF9C5700"/>
        <sz val="10"/>
        <name val="Arial"/>
      </font>
      <fill>
        <patternFill patternType="solid">
          <fgColor rgb="FFFFEB9C"/>
          <bgColor rgb="FFFFEB9C"/>
        </patternFill>
      </fill>
      <border>
        <left/>
        <right/>
        <top/>
        <bottom/>
        <diagonal/>
      </border>
    </dxf>
    <dxf>
      <font>
        <color rgb="FF9C0006"/>
        <sz val="10"/>
        <name val="Arial"/>
      </font>
      <fill>
        <patternFill patternType="solid">
          <fgColor rgb="FFFFC7CE"/>
          <bgColor rgb="FFFFC7CE"/>
        </patternFill>
      </fill>
      <border>
        <left/>
        <right/>
        <top/>
        <bottom/>
        <diagonal/>
      </border>
    </dxf>
    <dxf>
      <font>
        <color rgb="FF9C0006"/>
        <sz val="10"/>
        <name val="Arial"/>
      </font>
      <fill>
        <patternFill patternType="solid">
          <fgColor rgb="FFFFC7CE"/>
          <bgColor rgb="FFFFC7CE"/>
        </patternFill>
      </fill>
      <border>
        <left/>
        <right/>
        <top/>
        <bottom/>
        <diagonal/>
      </border>
    </dxf>
    <dxf>
      <font>
        <color rgb="FF9C0006"/>
        <sz val="10"/>
        <name val="Arial"/>
      </font>
      <fill>
        <patternFill patternType="solid">
          <fgColor rgb="FFFFC7CE"/>
          <bgColor rgb="FFFFC7CE"/>
        </patternFill>
      </fill>
      <border>
        <left/>
        <right/>
        <top/>
        <bottom/>
        <diagonal/>
      </border>
    </dxf>
    <dxf>
      <font>
        <color rgb="FF006100"/>
        <sz val="10"/>
        <name val="Arial"/>
      </font>
      <fill>
        <patternFill patternType="solid">
          <fgColor rgb="FFC6EFCE"/>
          <bgColor rgb="FFC6EFCE"/>
        </patternFill>
      </fill>
      <border>
        <left/>
        <right/>
        <top/>
        <bottom/>
        <diagonal/>
      </border>
    </dxf>
    <dxf>
      <font>
        <color rgb="FF006100"/>
        <sz val="10"/>
        <name val="Arial"/>
      </font>
      <fill>
        <patternFill patternType="solid">
          <fgColor rgb="FFC6EFCE"/>
          <bgColor rgb="FFC6EFCE"/>
        </patternFill>
      </fill>
      <border>
        <left/>
        <right/>
        <top/>
        <bottom/>
        <diagonal/>
      </border>
    </dxf>
    <dxf>
      <font>
        <color rgb="FF006100"/>
        <sz val="10"/>
        <name val="Arial"/>
      </font>
      <fill>
        <patternFill patternType="solid">
          <fgColor rgb="FFC6EFCE"/>
          <bgColor rgb="FFC6EFCE"/>
        </patternFill>
      </fill>
      <border>
        <left/>
        <right/>
        <top/>
        <bottom/>
        <diagonal/>
      </border>
    </dxf>
    <dxf>
      <font>
        <color rgb="FF9C5700"/>
        <sz val="10"/>
        <name val="Arial"/>
      </font>
      <fill>
        <patternFill patternType="solid">
          <fgColor rgb="FFFFEB9C"/>
          <bgColor rgb="FFFFEB9C"/>
        </patternFill>
      </fill>
      <border>
        <left/>
        <right/>
        <top/>
        <bottom/>
        <diagonal/>
      </border>
    </dxf>
    <dxf>
      <font>
        <color rgb="FF9C0006"/>
        <sz val="10"/>
        <name val="Arial"/>
      </font>
      <fill>
        <patternFill patternType="solid">
          <fgColor rgb="FFFFC7CE"/>
          <bgColor rgb="FFFFC7CE"/>
        </patternFill>
      </fill>
      <border>
        <left/>
        <right/>
        <top/>
        <bottom/>
        <diagonal/>
      </border>
    </dxf>
    <dxf>
      <font>
        <color rgb="FF9C0006"/>
        <sz val="10"/>
        <name val="Arial"/>
      </font>
      <fill>
        <patternFill patternType="solid">
          <fgColor rgb="FFFFC7CE"/>
          <bgColor rgb="FFFFC7CE"/>
        </patternFill>
      </fill>
      <border>
        <left/>
        <right/>
        <top/>
        <bottom/>
        <diagonal/>
      </border>
    </dxf>
    <dxf>
      <font>
        <color rgb="FF9C0006"/>
        <sz val="10"/>
        <name val="Arial"/>
      </font>
      <fill>
        <patternFill patternType="solid">
          <fgColor rgb="FFFFC7CE"/>
          <bgColor rgb="FFFFC7CE"/>
        </patternFill>
      </fill>
      <border>
        <left/>
        <right/>
        <top/>
        <bottom/>
        <diagonal/>
      </border>
    </dxf>
    <dxf>
      <font>
        <color rgb="FF006100"/>
        <sz val="10"/>
        <name val="Arial"/>
      </font>
      <fill>
        <patternFill patternType="solid">
          <fgColor rgb="FFC6EFCE"/>
          <bgColor rgb="FFC6EFCE"/>
        </patternFill>
      </fill>
      <border>
        <left/>
        <right/>
        <top/>
        <bottom/>
        <diagonal/>
      </border>
    </dxf>
    <dxf>
      <font>
        <color rgb="FF9C5700"/>
        <sz val="10"/>
        <name val="Arial"/>
      </font>
      <fill>
        <patternFill patternType="solid">
          <fgColor rgb="FFFFEB9C"/>
          <bgColor rgb="FFFFEB9C"/>
        </patternFill>
      </fill>
      <border>
        <left/>
        <right/>
        <top/>
        <bottom/>
        <diagonal/>
      </border>
    </dxf>
    <dxf>
      <font>
        <color rgb="FF9C0006"/>
        <sz val="10"/>
        <name val="Arial"/>
      </font>
      <fill>
        <patternFill patternType="solid">
          <fgColor rgb="FFFFC7CE"/>
          <bgColor rgb="FFFFC7CE"/>
        </patternFill>
      </fill>
      <border>
        <left/>
        <right/>
        <top/>
        <bottom/>
        <diagon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10.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hyperlink" Target="http://mycityapp.io/" TargetMode="External"/><Relationship Id="rId2" Type="http://schemas.openxmlformats.org/officeDocument/2006/relationships/comments" Target="../comments5.xml"/><Relationship Id="rId3" Type="http://schemas.openxmlformats.org/officeDocument/2006/relationships/vmlDrawing" Target="../drawings/vmlDrawing5.vml"/></Relationships>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D200"/>
  </sheetPr>
  <dimension ref="A1:P1000"/>
  <sheetViews>
    <sheetView workbookViewId="0" showGridLines="0" zoomScale="100" zoomScaleNormal="100">
      <pane xSplit="2" ySplit="5" topLeftCell="C6" activePane="bottomRight" state="frozen"/>
      <selection pane="bottomRight" activeCell="C6" sqref="C6"/>
    </sheetView>
  </sheetViews>
  <sheetFormatPr defaultRowHeight="15" outlineLevelRow="0" outlineLevelCol="0" x14ac:dyDescent="0" defaultColWidth="14.43"/>
  <cols>
    <col min="1" max="1" width="10" customWidth="1"/>
    <col min="2" max="2" width="62" customWidth="1"/>
    <col min="3" max="3" width="20" customWidth="1"/>
    <col min="4" max="4" width="22" customWidth="1"/>
    <col min="5" max="5" width="24" customWidth="1"/>
    <col min="6" max="6" width="30" customWidth="1"/>
    <col min="7" max="7" width="11" customWidth="1"/>
    <col min="8" max="8" width="12" customWidth="1"/>
    <col min="9" max="9" width="60" customWidth="1"/>
    <col min="10" max="11" width="12" customWidth="1"/>
    <col min="12" max="12" width="18" customWidth="1"/>
    <col min="13" max="13" width="44" customWidth="1"/>
    <col min="16" max="16" width="11" customWidth="1"/>
    <col min="17" max="26" width="8.86" customWidth="1"/>
  </cols>
  <sheetData>
    <row r="1" ht="18" customHeight="1" spans="1:1" x14ac:dyDescent="0.25">
      <c r="A1" s="1" t="s">
        <v>0</v>
      </c>
    </row>
    <row r="2" spans="1:1" x14ac:dyDescent="0.25">
      <c r="A2" s="2" t="s">
        <v>1</v>
      </c>
    </row>
    <row r="3" spans="1:1" x14ac:dyDescent="0.25">
      <c r="A3" s="2" t="s">
        <v>2</v>
      </c>
    </row>
    <row r="4" spans="11:16" x14ac:dyDescent="0.25">
      <c r="K4" s="3" t="s">
        <v>3</v>
      </c>
      <c r="L4" s="4"/>
      <c r="M4" s="5"/>
      <c r="N4" s="3" t="s">
        <v>4</v>
      </c>
      <c r="O4" s="4"/>
      <c r="P4" s="5"/>
    </row>
    <row r="5" ht="27.75" customHeight="1" spans="1:16" x14ac:dyDescent="0.25">
      <c r="A5" s="6" t="s">
        <v>5</v>
      </c>
      <c r="B5" s="6" t="s">
        <v>6</v>
      </c>
      <c r="C5" s="6" t="s">
        <v>7</v>
      </c>
      <c r="D5" s="6" t="s">
        <v>8</v>
      </c>
      <c r="E5" s="6" t="s">
        <v>9</v>
      </c>
      <c r="F5" s="6" t="s">
        <v>10</v>
      </c>
      <c r="G5" s="6" t="s">
        <v>11</v>
      </c>
      <c r="H5" s="6" t="s">
        <v>12</v>
      </c>
      <c r="I5" s="6" t="s">
        <v>13</v>
      </c>
      <c r="J5" s="6" t="s">
        <v>14</v>
      </c>
      <c r="K5" s="6" t="s">
        <v>15</v>
      </c>
      <c r="L5" s="6" t="s">
        <v>16</v>
      </c>
      <c r="M5" s="6" t="s">
        <v>17</v>
      </c>
      <c r="N5" s="6" t="s">
        <v>18</v>
      </c>
      <c r="O5" s="6" t="s">
        <v>19</v>
      </c>
      <c r="P5" s="6" t="s">
        <v>20</v>
      </c>
    </row>
    <row r="6" spans="1:16" x14ac:dyDescent="0.25">
      <c r="A6" s="7" t="s">
        <v>21</v>
      </c>
      <c r="B6" s="8"/>
      <c r="C6" s="8"/>
      <c r="D6" s="8"/>
      <c r="E6" s="8"/>
      <c r="F6" s="8"/>
      <c r="G6" s="8"/>
      <c r="H6" s="8"/>
      <c r="I6" s="8"/>
      <c r="J6" s="9"/>
      <c r="K6" s="9"/>
      <c r="L6" s="9"/>
      <c r="M6" s="9"/>
      <c r="N6" s="10">
        <f t="shared" ref="N6:P6" si="0">IFERROR(ROUND(AVERAGE(N7:N8),2),"")</f>
      </c>
      <c r="O6" s="10">
        <f t="shared" si="0"/>
      </c>
      <c r="P6" s="10">
        <f t="shared" si="0"/>
      </c>
    </row>
    <row r="7" ht="95.25" customHeight="1" spans="1:16" x14ac:dyDescent="0.25">
      <c r="A7" s="11" t="s">
        <v>22</v>
      </c>
      <c r="B7" s="11" t="s">
        <v>23</v>
      </c>
      <c r="C7" s="11" t="s">
        <v>24</v>
      </c>
      <c r="D7" s="11" t="s">
        <v>25</v>
      </c>
      <c r="E7" s="11" t="s">
        <v>26</v>
      </c>
      <c r="F7" s="11" t="s">
        <v>27</v>
      </c>
      <c r="G7" s="12">
        <v>46296</v>
      </c>
      <c r="H7" s="12">
        <v>46326</v>
      </c>
      <c r="I7" s="11" t="s">
        <v>28</v>
      </c>
      <c r="J7" s="11"/>
      <c r="K7" s="13"/>
      <c r="L7" s="11"/>
      <c r="M7" s="11"/>
      <c r="N7" s="14"/>
      <c r="O7" s="14"/>
      <c r="P7" s="14"/>
    </row>
    <row r="8" ht="57" customHeight="1" spans="1:16" x14ac:dyDescent="0.25">
      <c r="A8" s="11" t="s">
        <v>29</v>
      </c>
      <c r="B8" s="11" t="s">
        <v>30</v>
      </c>
      <c r="C8" s="11" t="s">
        <v>31</v>
      </c>
      <c r="D8" s="11" t="s">
        <v>32</v>
      </c>
      <c r="E8" s="11" t="s">
        <v>26</v>
      </c>
      <c r="F8" s="11" t="s">
        <v>33</v>
      </c>
      <c r="G8" s="12">
        <v>46296</v>
      </c>
      <c r="H8" s="12">
        <v>46356</v>
      </c>
      <c r="I8" s="11" t="s">
        <v>34</v>
      </c>
      <c r="J8" s="11" t="s">
        <v>26</v>
      </c>
      <c r="K8" s="15">
        <f>IF('Technology &amp; Back-office Ops'!I13="","",'Technology &amp; Back-office Ops'!I13)</f>
      </c>
      <c r="L8" s="16">
        <f>IF('Technology &amp; Back-office Ops'!J13="","",'Technology &amp; Back-office Ops'!J13)</f>
      </c>
      <c r="M8" s="16" t="str">
        <f>IF('Technology &amp; Back-office Ops'!K13="","",'Technology &amp; Back-office Ops'!K13)</f>
        <v>Pending Review/tool identification</v>
      </c>
      <c r="N8" s="17">
        <f>IF('Technology &amp; Back-office Ops'!L13="","",'Technology &amp; Back-office Ops'!L13)</f>
      </c>
      <c r="O8" s="17">
        <f>IF('Technology &amp; Back-office Ops'!M13="","",'Technology &amp; Back-office Ops'!M13)</f>
      </c>
      <c r="P8" s="17">
        <f>IF('Technology &amp; Back-office Ops'!N13="","",'Technology &amp; Back-office Ops'!N13)</f>
      </c>
    </row>
    <row r="9" spans="1:16" x14ac:dyDescent="0.25">
      <c r="A9" s="7" t="s">
        <v>35</v>
      </c>
      <c r="B9" s="8"/>
      <c r="C9" s="8"/>
      <c r="D9" s="8"/>
      <c r="E9" s="8"/>
      <c r="F9" s="8"/>
      <c r="G9" s="8"/>
      <c r="H9" s="8"/>
      <c r="I9" s="8"/>
      <c r="J9" s="9"/>
      <c r="K9" s="9"/>
      <c r="L9" s="9"/>
      <c r="M9" s="9"/>
      <c r="N9" s="10">
        <f t="shared" ref="N9:P9" si="1">IFERROR(ROUND(AVERAGE(N10:N13),2),"")</f>
      </c>
      <c r="O9" s="10">
        <f t="shared" si="1"/>
      </c>
      <c r="P9" s="10">
        <f t="shared" si="1"/>
      </c>
    </row>
    <row r="10" ht="31.5" customHeight="1" spans="1:16" x14ac:dyDescent="0.25">
      <c r="A10" s="11" t="s">
        <v>36</v>
      </c>
      <c r="B10" s="11" t="s">
        <v>37</v>
      </c>
      <c r="C10" s="11" t="s">
        <v>38</v>
      </c>
      <c r="D10" s="11" t="s">
        <v>32</v>
      </c>
      <c r="E10" s="11" t="s">
        <v>39</v>
      </c>
      <c r="F10" s="11" t="s">
        <v>40</v>
      </c>
      <c r="G10" s="12">
        <v>46296</v>
      </c>
      <c r="H10" s="12">
        <v>46387</v>
      </c>
      <c r="I10" s="11" t="s">
        <v>41</v>
      </c>
      <c r="J10" s="11"/>
      <c r="K10" s="13"/>
      <c r="L10" s="11"/>
      <c r="M10" s="11"/>
      <c r="N10" s="14"/>
      <c r="O10" s="14"/>
      <c r="P10" s="14"/>
    </row>
    <row r="11" ht="31.5" customHeight="1" spans="1:16" x14ac:dyDescent="0.25">
      <c r="A11" s="11" t="s">
        <v>42</v>
      </c>
      <c r="B11" s="11" t="s">
        <v>43</v>
      </c>
      <c r="C11" s="11" t="s">
        <v>38</v>
      </c>
      <c r="D11" s="11" t="s">
        <v>32</v>
      </c>
      <c r="E11" s="11" t="s">
        <v>44</v>
      </c>
      <c r="F11" s="11" t="s">
        <v>45</v>
      </c>
      <c r="G11" s="12">
        <v>46296</v>
      </c>
      <c r="H11" s="12">
        <v>46387</v>
      </c>
      <c r="I11" s="11" t="s">
        <v>46</v>
      </c>
      <c r="J11" s="11" t="s">
        <v>47</v>
      </c>
      <c r="K11" s="15" t="str">
        <f>IF('Technology &amp; Back-office Ops'!I8="","",'Technology &amp; Back-office Ops'!I8)</f>
        <v>On track</v>
      </c>
      <c r="L11" s="16">
        <f>IF('Technology &amp; Back-office Ops'!J8="","",'Technology &amp; Back-office Ops'!J8)</f>
      </c>
      <c r="M11" s="16" t="str">
        <f>IF('Technology &amp; Back-office Ops'!K8="","",'Technology &amp; Back-office Ops'!K8)</f>
        <v>Blue salt upgrade upgrade done. Pending go-live. Temporary freeze on MTNN. - TBD.</v>
      </c>
      <c r="N11" s="17">
        <f>IF('Technology &amp; Back-office Ops'!L8="","",'Technology &amp; Back-office Ops'!L8)</f>
      </c>
      <c r="O11" s="17">
        <f>IF('Technology &amp; Back-office Ops'!M8="","",'Technology &amp; Back-office Ops'!M8)</f>
      </c>
      <c r="P11" s="17">
        <f>IF('Technology &amp; Back-office Ops'!N8="","",'Technology &amp; Back-office Ops'!N8)</f>
      </c>
    </row>
    <row r="12" ht="44.25" customHeight="1" spans="1:16" x14ac:dyDescent="0.25">
      <c r="A12" s="11" t="s">
        <v>48</v>
      </c>
      <c r="B12" s="11" t="s">
        <v>49</v>
      </c>
      <c r="C12" s="11" t="s">
        <v>50</v>
      </c>
      <c r="D12" s="11" t="s">
        <v>32</v>
      </c>
      <c r="E12" s="11" t="s">
        <v>51</v>
      </c>
      <c r="F12" s="11" t="s">
        <v>52</v>
      </c>
      <c r="G12" s="12">
        <v>46296</v>
      </c>
      <c r="H12" s="12">
        <v>46387</v>
      </c>
      <c r="I12" s="11" t="s">
        <v>53</v>
      </c>
      <c r="J12" s="11" t="s">
        <v>54</v>
      </c>
      <c r="K12" s="15" t="str">
        <f>IF('Technology &amp; Back-office Ops'!I9="","",'Technology &amp; Back-office Ops'!I9)</f>
        <v>On track</v>
      </c>
      <c r="L12" s="16">
        <f>IF('Technology &amp; Back-office Ops'!J9="","",'Technology &amp; Back-office Ops'!J9)</f>
      </c>
      <c r="M12" s="16" t="str">
        <f>IF('Technology &amp; Back-office Ops'!K9="","",'Technology &amp; Back-office Ops'!K9)</f>
        <v>Ifeoma's TA hiring - Cynthia (Interviews in progress)
Recommend Support Ticket Desk - Bode. 
Explore the ERP solution development/implementation in progress.</v>
      </c>
      <c r="N12" s="17">
        <f>IF('Technology &amp; Back-office Ops'!L9="","",'Technology &amp; Back-office Ops'!L9)</f>
      </c>
      <c r="O12" s="17">
        <f>IF('Technology &amp; Back-office Ops'!M9="","",'Technology &amp; Back-office Ops'!M9)</f>
      </c>
      <c r="P12" s="17">
        <f>IF('Technology &amp; Back-office Ops'!N9="","",'Technology &amp; Back-office Ops'!N9)</f>
      </c>
    </row>
    <row r="13" ht="82.5" customHeight="1" spans="1:16" x14ac:dyDescent="0.25">
      <c r="A13" s="11" t="s">
        <v>55</v>
      </c>
      <c r="B13" s="11" t="s">
        <v>56</v>
      </c>
      <c r="C13" s="11" t="s">
        <v>57</v>
      </c>
      <c r="D13" s="11" t="s">
        <v>32</v>
      </c>
      <c r="E13" s="11" t="s">
        <v>58</v>
      </c>
      <c r="F13" s="11" t="s">
        <v>59</v>
      </c>
      <c r="G13" s="12">
        <v>46296</v>
      </c>
      <c r="H13" s="12">
        <v>46356</v>
      </c>
      <c r="I13" s="11" t="s">
        <v>60</v>
      </c>
      <c r="J13" s="11"/>
      <c r="K13" s="13"/>
      <c r="L13" s="11"/>
      <c r="M13" s="11"/>
      <c r="N13" s="14"/>
      <c r="O13" s="14"/>
      <c r="P13" s="14"/>
    </row>
    <row r="14" spans="1:16" x14ac:dyDescent="0.25">
      <c r="A14" s="7" t="s">
        <v>61</v>
      </c>
      <c r="B14" s="8"/>
      <c r="C14" s="8"/>
      <c r="D14" s="8"/>
      <c r="E14" s="8"/>
      <c r="F14" s="8"/>
      <c r="G14" s="8"/>
      <c r="H14" s="8"/>
      <c r="I14" s="8"/>
      <c r="J14" s="9"/>
      <c r="K14" s="9"/>
      <c r="L14" s="9"/>
      <c r="M14" s="9"/>
      <c r="N14" s="10">
        <f t="shared" ref="N14:P14" si="2">IFERROR(ROUND(AVERAGE(N15:N17),2),"")</f>
      </c>
      <c r="O14" s="10">
        <f t="shared" si="2"/>
      </c>
      <c r="P14" s="10">
        <f t="shared" si="2"/>
      </c>
    </row>
    <row r="15" ht="69.75" customHeight="1" spans="1:16" x14ac:dyDescent="0.25">
      <c r="A15" s="11" t="s">
        <v>62</v>
      </c>
      <c r="B15" s="11" t="s">
        <v>63</v>
      </c>
      <c r="C15" s="11" t="s">
        <v>38</v>
      </c>
      <c r="D15" s="11" t="s">
        <v>64</v>
      </c>
      <c r="E15" s="11" t="s">
        <v>65</v>
      </c>
      <c r="F15" s="11" t="s">
        <v>66</v>
      </c>
      <c r="G15" s="12">
        <v>46296</v>
      </c>
      <c r="H15" s="12">
        <v>46387</v>
      </c>
      <c r="I15" s="11" t="s">
        <v>67</v>
      </c>
      <c r="J15" s="11"/>
      <c r="K15" s="13"/>
      <c r="L15" s="11"/>
      <c r="M15" s="11"/>
      <c r="N15" s="14"/>
      <c r="O15" s="14"/>
      <c r="P15" s="14"/>
    </row>
    <row r="16" ht="69.75" customHeight="1" spans="1:16" x14ac:dyDescent="0.25">
      <c r="A16" s="11" t="s">
        <v>68</v>
      </c>
      <c r="B16" s="11" t="s">
        <v>69</v>
      </c>
      <c r="C16" s="11" t="s">
        <v>70</v>
      </c>
      <c r="D16" s="11" t="s">
        <v>71</v>
      </c>
      <c r="E16" s="11" t="s">
        <v>72</v>
      </c>
      <c r="F16" s="11" t="s">
        <v>73</v>
      </c>
      <c r="G16" s="12">
        <v>46296</v>
      </c>
      <c r="H16" s="12">
        <v>46387</v>
      </c>
      <c r="I16" s="11" t="s">
        <v>74</v>
      </c>
      <c r="J16" s="11"/>
      <c r="K16" s="13"/>
      <c r="L16" s="11"/>
      <c r="M16" s="11"/>
      <c r="N16" s="14"/>
      <c r="O16" s="14"/>
      <c r="P16" s="14"/>
    </row>
    <row r="17" ht="57" customHeight="1" spans="1:16" x14ac:dyDescent="0.25">
      <c r="A17" s="11" t="s">
        <v>75</v>
      </c>
      <c r="B17" s="11" t="s">
        <v>76</v>
      </c>
      <c r="C17" s="11" t="s">
        <v>70</v>
      </c>
      <c r="D17" s="11" t="s">
        <v>77</v>
      </c>
      <c r="E17" s="11" t="s">
        <v>78</v>
      </c>
      <c r="F17" s="11" t="s">
        <v>79</v>
      </c>
      <c r="G17" s="12">
        <v>46296</v>
      </c>
      <c r="H17" s="12">
        <v>46387</v>
      </c>
      <c r="I17" s="11" t="s">
        <v>80</v>
      </c>
      <c r="J17" s="11"/>
      <c r="K17" s="13"/>
      <c r="L17" s="11"/>
      <c r="M17" s="11"/>
      <c r="N17" s="14"/>
      <c r="O17" s="14"/>
      <c r="P17" s="14"/>
    </row>
    <row r="18" spans="1:16" x14ac:dyDescent="0.25">
      <c r="A18" s="7" t="s">
        <v>81</v>
      </c>
      <c r="B18" s="8"/>
      <c r="C18" s="8"/>
      <c r="D18" s="8"/>
      <c r="E18" s="8"/>
      <c r="F18" s="8"/>
      <c r="G18" s="8"/>
      <c r="H18" s="8"/>
      <c r="I18" s="8"/>
      <c r="J18" s="9"/>
      <c r="K18" s="9"/>
      <c r="L18" s="9"/>
      <c r="M18" s="9"/>
      <c r="N18" s="10">
        <f t="shared" ref="N18:P18" si="3">IFERROR(ROUND(AVERAGE(N19:N22),2),"")</f>
      </c>
      <c r="O18" s="10">
        <f t="shared" si="3"/>
      </c>
      <c r="P18" s="10">
        <f t="shared" si="3"/>
      </c>
    </row>
    <row r="19" ht="69.75" customHeight="1" spans="1:16" x14ac:dyDescent="0.25">
      <c r="A19" s="11" t="s">
        <v>82</v>
      </c>
      <c r="B19" s="11" t="s">
        <v>83</v>
      </c>
      <c r="C19" s="11" t="s">
        <v>84</v>
      </c>
      <c r="D19" s="11" t="s">
        <v>85</v>
      </c>
      <c r="E19" s="11" t="s">
        <v>86</v>
      </c>
      <c r="F19" s="11" t="s">
        <v>87</v>
      </c>
      <c r="G19" s="12">
        <v>46327</v>
      </c>
      <c r="H19" s="12">
        <v>46387</v>
      </c>
      <c r="I19" s="11" t="s">
        <v>88</v>
      </c>
      <c r="J19" s="11" t="s">
        <v>89</v>
      </c>
      <c r="K19" s="15">
        <f>IF('Branding &amp; Marketing'!I7="","",'Branding &amp; Marketing'!I7)</f>
      </c>
      <c r="L19" s="16">
        <f>IF('Branding &amp; Marketing'!J7="","",'Branding &amp; Marketing'!J7)</f>
      </c>
      <c r="M19" s="16" t="str">
        <f>IF('Branding &amp; Marketing'!K7="","",'Branding &amp; Marketing'!K7)</f>
        <v>- Request data on user base</v>
      </c>
      <c r="N19" s="17">
        <f>IF('Branding &amp; Marketing'!L7="","",'Branding &amp; Marketing'!L7)</f>
      </c>
      <c r="O19" s="17">
        <f>IF('Branding &amp; Marketing'!M7="","",'Branding &amp; Marketing'!M7)</f>
      </c>
      <c r="P19" s="17">
        <f>IF('Branding &amp; Marketing'!N7="","",'Branding &amp; Marketing'!N7)</f>
      </c>
    </row>
    <row r="20" ht="44.25" customHeight="1" spans="1:16" x14ac:dyDescent="0.25">
      <c r="A20" s="11" t="s">
        <v>90</v>
      </c>
      <c r="B20" s="11" t="s">
        <v>91</v>
      </c>
      <c r="C20" s="11" t="s">
        <v>84</v>
      </c>
      <c r="D20" s="11" t="s">
        <v>85</v>
      </c>
      <c r="E20" s="11" t="s">
        <v>92</v>
      </c>
      <c r="F20" s="11" t="s">
        <v>93</v>
      </c>
      <c r="G20" s="12">
        <v>46327</v>
      </c>
      <c r="H20" s="12">
        <v>46387</v>
      </c>
      <c r="I20" s="11" t="s">
        <v>94</v>
      </c>
      <c r="J20" s="11" t="s">
        <v>95</v>
      </c>
      <c r="K20" s="15">
        <f>IF('Branding &amp; Marketing'!I8="","",'Branding &amp; Marketing'!I8)</f>
      </c>
      <c r="L20" s="16">
        <f>IF('Branding &amp; Marketing'!J8="","",'Branding &amp; Marketing'!J8)</f>
      </c>
      <c r="M20" s="16">
        <f>IF('Branding &amp; Marketing'!K8="","",'Branding &amp; Marketing'!K8)</f>
      </c>
      <c r="N20" s="17">
        <f>IF('Branding &amp; Marketing'!L8="","",'Branding &amp; Marketing'!L8)</f>
      </c>
      <c r="O20" s="17">
        <f>IF('Branding &amp; Marketing'!M8="","",'Branding &amp; Marketing'!M8)</f>
      </c>
      <c r="P20" s="17">
        <f>IF('Branding &amp; Marketing'!N8="","",'Branding &amp; Marketing'!N8)</f>
      </c>
    </row>
    <row r="21" ht="120.75" customHeight="1" spans="1:16" x14ac:dyDescent="0.25">
      <c r="A21" s="11" t="s">
        <v>96</v>
      </c>
      <c r="B21" s="11" t="s">
        <v>97</v>
      </c>
      <c r="C21" s="11" t="s">
        <v>38</v>
      </c>
      <c r="D21" s="11" t="s">
        <v>85</v>
      </c>
      <c r="E21" s="11" t="s">
        <v>98</v>
      </c>
      <c r="F21" s="11" t="s">
        <v>99</v>
      </c>
      <c r="G21" s="12">
        <v>46296</v>
      </c>
      <c r="H21" s="12">
        <v>46387</v>
      </c>
      <c r="I21" s="11" t="s">
        <v>100</v>
      </c>
      <c r="J21" s="11"/>
      <c r="K21" s="13"/>
      <c r="L21" s="11"/>
      <c r="M21" s="11"/>
      <c r="N21" s="14"/>
      <c r="O21" s="14"/>
      <c r="P21" s="14"/>
    </row>
    <row r="22" ht="44.25" customHeight="1" spans="1:16" x14ac:dyDescent="0.25">
      <c r="A22" s="11" t="s">
        <v>101</v>
      </c>
      <c r="B22" s="11" t="s">
        <v>102</v>
      </c>
      <c r="C22" s="11" t="s">
        <v>103</v>
      </c>
      <c r="D22" s="11" t="s">
        <v>85</v>
      </c>
      <c r="E22" s="11" t="s">
        <v>104</v>
      </c>
      <c r="F22" s="11" t="s">
        <v>105</v>
      </c>
      <c r="G22" s="12">
        <v>46296</v>
      </c>
      <c r="H22" s="12">
        <v>46387</v>
      </c>
      <c r="I22" s="11" t="s">
        <v>106</v>
      </c>
      <c r="J22" s="11"/>
      <c r="K22" s="13"/>
      <c r="L22" s="11"/>
      <c r="M22" s="11"/>
      <c r="N22" s="14"/>
      <c r="O22" s="14"/>
      <c r="P22" s="14"/>
    </row>
    <row r="23" ht="15.75" customHeight="1" spans="1:16" x14ac:dyDescent="0.25">
      <c r="A23" s="7" t="s">
        <v>107</v>
      </c>
      <c r="B23" s="8"/>
      <c r="C23" s="8"/>
      <c r="D23" s="8"/>
      <c r="E23" s="8"/>
      <c r="F23" s="8"/>
      <c r="G23" s="8"/>
      <c r="H23" s="8"/>
      <c r="I23" s="8"/>
      <c r="J23" s="9"/>
      <c r="K23" s="9"/>
      <c r="L23" s="9"/>
      <c r="M23" s="9"/>
      <c r="N23" s="10">
        <f t="shared" ref="N23:P23" si="4">IFERROR(ROUND(AVERAGE(N24:N25),2),"")</f>
      </c>
      <c r="O23" s="10">
        <f t="shared" si="4"/>
      </c>
      <c r="P23" s="10">
        <f t="shared" si="4"/>
      </c>
    </row>
    <row r="24" ht="133.5" customHeight="1" spans="1:16" x14ac:dyDescent="0.25">
      <c r="A24" s="11" t="s">
        <v>108</v>
      </c>
      <c r="B24" s="11" t="s">
        <v>109</v>
      </c>
      <c r="C24" s="11" t="s">
        <v>38</v>
      </c>
      <c r="D24" s="11" t="s">
        <v>64</v>
      </c>
      <c r="E24" s="11" t="s">
        <v>110</v>
      </c>
      <c r="F24" s="11" t="s">
        <v>111</v>
      </c>
      <c r="G24" s="12">
        <v>46296</v>
      </c>
      <c r="H24" s="12">
        <v>46387</v>
      </c>
      <c r="I24" s="11" t="s">
        <v>112</v>
      </c>
      <c r="J24" s="11"/>
      <c r="K24" s="13"/>
      <c r="L24" s="11"/>
      <c r="M24" s="11"/>
      <c r="N24" s="14"/>
      <c r="O24" s="14"/>
      <c r="P24" s="14"/>
    </row>
    <row r="25" ht="69.75" customHeight="1" spans="1:16" x14ac:dyDescent="0.25">
      <c r="A25" s="11" t="s">
        <v>113</v>
      </c>
      <c r="B25" s="11" t="s">
        <v>114</v>
      </c>
      <c r="C25" s="11" t="s">
        <v>115</v>
      </c>
      <c r="D25" s="11" t="s">
        <v>116</v>
      </c>
      <c r="E25" s="11" t="s">
        <v>117</v>
      </c>
      <c r="F25" s="11" t="s">
        <v>118</v>
      </c>
      <c r="G25" s="12">
        <v>46296</v>
      </c>
      <c r="H25" s="12">
        <v>46397</v>
      </c>
      <c r="I25" s="11" t="s">
        <v>119</v>
      </c>
      <c r="J25" s="11"/>
      <c r="K25" s="13"/>
      <c r="L25" s="11"/>
      <c r="M25" s="11"/>
      <c r="N25" s="14"/>
      <c r="O25" s="14"/>
      <c r="P25" s="14"/>
    </row>
    <row r="26" ht="15.75" customHeight="1" spans="1:16" x14ac:dyDescent="0.25">
      <c r="A26" s="7" t="s">
        <v>120</v>
      </c>
      <c r="B26" s="8"/>
      <c r="C26" s="8"/>
      <c r="D26" s="8"/>
      <c r="E26" s="8"/>
      <c r="F26" s="8"/>
      <c r="G26" s="8"/>
      <c r="H26" s="8"/>
      <c r="I26" s="8"/>
      <c r="J26" s="9"/>
      <c r="K26" s="9"/>
      <c r="L26" s="9"/>
      <c r="M26" s="9"/>
      <c r="N26" s="10">
        <f t="shared" ref="N26:P26" si="5">IFERROR(ROUND(AVERAGE(N27:N28),2),"")</f>
      </c>
      <c r="O26" s="10">
        <f t="shared" si="5"/>
      </c>
      <c r="P26" s="10">
        <f t="shared" si="5"/>
      </c>
    </row>
    <row r="27" ht="95.25" customHeight="1" spans="1:16" x14ac:dyDescent="0.25">
      <c r="A27" s="11" t="s">
        <v>121</v>
      </c>
      <c r="B27" s="11" t="s">
        <v>122</v>
      </c>
      <c r="C27" s="11" t="s">
        <v>38</v>
      </c>
      <c r="D27" s="11" t="s">
        <v>123</v>
      </c>
      <c r="E27" s="11" t="s">
        <v>124</v>
      </c>
      <c r="F27" s="11" t="s">
        <v>125</v>
      </c>
      <c r="G27" s="12">
        <v>46296</v>
      </c>
      <c r="H27" s="12">
        <v>46387</v>
      </c>
      <c r="I27" s="11" t="s">
        <v>126</v>
      </c>
      <c r="J27" s="11"/>
      <c r="K27" s="13"/>
      <c r="L27" s="11"/>
      <c r="M27" s="11"/>
      <c r="N27" s="14"/>
      <c r="O27" s="14"/>
      <c r="P27" s="14"/>
    </row>
    <row r="28" ht="31.5" customHeight="1" spans="1:16" x14ac:dyDescent="0.25">
      <c r="A28" s="11" t="s">
        <v>127</v>
      </c>
      <c r="B28" s="11" t="s">
        <v>128</v>
      </c>
      <c r="C28" s="11" t="s">
        <v>129</v>
      </c>
      <c r="D28" s="11" t="s">
        <v>130</v>
      </c>
      <c r="E28" s="11" t="s">
        <v>131</v>
      </c>
      <c r="F28" s="11" t="s">
        <v>132</v>
      </c>
      <c r="G28" s="12">
        <v>46296</v>
      </c>
      <c r="H28" s="12">
        <v>46371</v>
      </c>
      <c r="I28" s="11" t="s">
        <v>133</v>
      </c>
      <c r="J28" s="11" t="s">
        <v>131</v>
      </c>
      <c r="K28" s="15">
        <f>IF('People &amp; Culture'!I7="","",'People &amp; Culture'!I7)</f>
      </c>
      <c r="L28" s="16">
        <f>IF('People &amp; Culture'!J7="","",'People &amp; Culture'!J7)</f>
      </c>
      <c r="M28" s="16">
        <f>IF('People &amp; Culture'!K7="","",'People &amp; Culture'!K7)</f>
      </c>
      <c r="N28" s="17">
        <f>IF('People &amp; Culture'!L7="","",'People &amp; Culture'!L7)</f>
      </c>
      <c r="O28" s="17">
        <f>IF('People &amp; Culture'!M7="","",'People &amp; Culture'!M7)</f>
      </c>
      <c r="P28" s="17">
        <f>IF('People &amp; Culture'!N7="","",'People &amp; Culture'!N7)</f>
      </c>
    </row>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8">
    <mergeCell ref="K4:M4"/>
    <mergeCell ref="N4:P4"/>
    <mergeCell ref="A6:I6"/>
    <mergeCell ref="A9:I9"/>
    <mergeCell ref="A14:I14"/>
    <mergeCell ref="A18:I18"/>
    <mergeCell ref="A23:I23"/>
    <mergeCell ref="A26:I26"/>
  </mergeCells>
  <conditionalFormatting sqref="K6:K28">
    <cfRule type="expression" dxfId="0" priority="1">
      <formula>K6="Done"</formula>
    </cfRule>
  </conditionalFormatting>
  <conditionalFormatting sqref="K6:K28">
    <cfRule type="expression" dxfId="1" priority="2">
      <formula>K6="On track"</formula>
    </cfRule>
  </conditionalFormatting>
  <conditionalFormatting sqref="K6:K28">
    <cfRule type="expression" dxfId="2" priority="3">
      <formula>K6="Met"</formula>
    </cfRule>
  </conditionalFormatting>
  <conditionalFormatting sqref="K6:K28">
    <cfRule type="expression" dxfId="3" priority="4">
      <formula>K6="At risk"</formula>
    </cfRule>
  </conditionalFormatting>
  <conditionalFormatting sqref="K6:K28">
    <cfRule type="expression" dxfId="4" priority="5">
      <formula>K6="Off track"</formula>
    </cfRule>
  </conditionalFormatting>
  <conditionalFormatting sqref="K6:K28">
    <cfRule type="expression" dxfId="5" priority="6">
      <formula>K6="Missed"</formula>
    </cfRule>
  </conditionalFormatting>
  <conditionalFormatting sqref="K6:K28">
    <cfRule type="expression" dxfId="6" priority="7">
      <formula>K6="Not met"</formula>
    </cfRule>
  </conditionalFormatting>
  <conditionalFormatting sqref="N6:P28">
    <cfRule type="expression" dxfId="7" priority="8">
      <formula>AND(ISNUMBER(N6),N6&gt;=0.7)</formula>
    </cfRule>
  </conditionalFormatting>
  <conditionalFormatting sqref="N6:P28">
    <cfRule type="expression" dxfId="8" priority="9">
      <formula>AND(ISNUMBER(N6),N6&gt;=0.4,N6&lt;0.7)</formula>
    </cfRule>
  </conditionalFormatting>
  <conditionalFormatting sqref="N6:P28">
    <cfRule type="expression" dxfId="9" priority="10">
      <formula>AND(ISNUMBER(N6),N6&lt;0.4)</formula>
    </cfRule>
  </conditionalFormatting>
  <dataValidations count="14">
    <dataValidation type="list" allowBlank="1" sqref="K10">
      <formula1>"Not started,On track,At risk,Off track,Done,Missed"</formula1>
    </dataValidation>
    <dataValidation type="list" allowBlank="1" sqref="K13">
      <formula1>"Not started,On track,At risk,Off track,Done,Missed"</formula1>
    </dataValidation>
    <dataValidation type="list" allowBlank="1" sqref="K15:K17">
      <formula1>"Not started,On track,At risk,Off track,Done,Missed"</formula1>
    </dataValidation>
    <dataValidation type="list" allowBlank="1" sqref="K21:K22">
      <formula1>"Not started,On track,At risk,Off track,Done,Missed"</formula1>
    </dataValidation>
    <dataValidation type="list" allowBlank="1" sqref="K24:K25">
      <formula1>"Not started,On track,At risk,Off track,Done,Missed"</formula1>
    </dataValidation>
    <dataValidation type="list" allowBlank="1" sqref="K27">
      <formula1>"Not started,On track,At risk,Off track,Done,Missed"</formula1>
    </dataValidation>
    <dataValidation type="list" allowBlank="1" sqref="K7">
      <formula1>"Not started,On track,At risk,Off track,Done,Missed"</formula1>
    </dataValidation>
    <dataValidation type="decimal" allowBlank="1" sqref="N10:P10">
      <formula1>0</formula1>
      <formula2>1</formula2>
    </dataValidation>
    <dataValidation type="decimal" allowBlank="1" sqref="N13:P13">
      <formula1>0</formula1>
      <formula2>1</formula2>
    </dataValidation>
    <dataValidation type="decimal" allowBlank="1" sqref="N15:P17">
      <formula1>0</formula1>
      <formula2>1</formula2>
    </dataValidation>
    <dataValidation type="decimal" allowBlank="1" sqref="N21:P22">
      <formula1>0</formula1>
      <formula2>1</formula2>
    </dataValidation>
    <dataValidation type="decimal" allowBlank="1" sqref="N24:P25">
      <formula1>0</formula1>
      <formula2>1</formula2>
    </dataValidation>
    <dataValidation type="decimal" allowBlank="1" sqref="N27:P27">
      <formula1>0</formula1>
      <formula2>1</formula2>
    </dataValidation>
    <dataValidation type="decimal" allowBlank="1" sqref="N7:P7">
      <formula1>0</formula1>
      <formula2>1</formula2>
    </dataValidation>
  </dataValidations>
  <pageMargins left="0.75" right="0.75" top="1" bottom="1" header="0" footer="0"/>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14239"/>
  </sheetPr>
  <dimension ref="A1:N1000"/>
  <sheetViews>
    <sheetView workbookViewId="0" showGridLines="0" zoomScale="100" zoomScaleNormal="100">
      <pane xSplit="2" ySplit="5" topLeftCell="C6" activePane="bottomRight" state="frozen"/>
      <selection pane="bottomRight" activeCell="C6" sqref="C6"/>
    </sheetView>
  </sheetViews>
  <sheetFormatPr defaultRowHeight="15" outlineLevelRow="0" outlineLevelCol="0" x14ac:dyDescent="0" defaultColWidth="14.43"/>
  <cols>
    <col min="1" max="1" width="11" customWidth="1"/>
    <col min="2" max="2" width="58" customWidth="1"/>
    <col min="3" max="3" width="20" customWidth="1"/>
    <col min="4" max="4" width="62" customWidth="1"/>
    <col min="5" max="5" width="20" customWidth="1"/>
    <col min="6" max="6" width="18" customWidth="1"/>
    <col min="7" max="9" width="12" customWidth="1"/>
    <col min="10" max="10" width="18" customWidth="1"/>
    <col min="11" max="11" width="44" customWidth="1"/>
    <col min="14" max="14" width="11" customWidth="1"/>
    <col min="15" max="26" width="8.86" customWidth="1"/>
  </cols>
  <sheetData>
    <row r="1" ht="18" customHeight="1" spans="1:1" x14ac:dyDescent="0.25">
      <c r="A1" s="1" t="s">
        <v>134</v>
      </c>
    </row>
    <row r="2" spans="1:1" x14ac:dyDescent="0.25">
      <c r="A2" s="2" t="s">
        <v>135</v>
      </c>
    </row>
    <row r="3" spans="1:1" x14ac:dyDescent="0.25">
      <c r="A3" s="2" t="s">
        <v>136</v>
      </c>
    </row>
    <row r="4" spans="9:14" x14ac:dyDescent="0.25">
      <c r="I4" s="3" t="s">
        <v>3</v>
      </c>
      <c r="J4" s="4"/>
      <c r="K4" s="5"/>
      <c r="L4" s="3" t="s">
        <v>4</v>
      </c>
      <c r="M4" s="4"/>
      <c r="N4" s="5"/>
    </row>
    <row r="5" ht="27.75" customHeight="1" spans="1:14" x14ac:dyDescent="0.25">
      <c r="A5" s="6" t="s">
        <v>5</v>
      </c>
      <c r="B5" s="6" t="s">
        <v>6</v>
      </c>
      <c r="C5" s="6" t="s">
        <v>7</v>
      </c>
      <c r="D5" s="6" t="s">
        <v>13</v>
      </c>
      <c r="E5" s="6" t="s">
        <v>137</v>
      </c>
      <c r="F5" s="6" t="s">
        <v>138</v>
      </c>
      <c r="G5" s="6" t="s">
        <v>11</v>
      </c>
      <c r="H5" s="6" t="s">
        <v>12</v>
      </c>
      <c r="I5" s="6" t="s">
        <v>15</v>
      </c>
      <c r="J5" s="6" t="s">
        <v>16</v>
      </c>
      <c r="K5" s="6" t="s">
        <v>17</v>
      </c>
      <c r="L5" s="6" t="s">
        <v>18</v>
      </c>
      <c r="M5" s="6" t="s">
        <v>19</v>
      </c>
      <c r="N5" s="6" t="s">
        <v>20</v>
      </c>
    </row>
    <row r="6" spans="1:14" x14ac:dyDescent="0.25">
      <c r="A6" s="7" t="s">
        <v>139</v>
      </c>
      <c r="B6" s="8"/>
      <c r="C6" s="8"/>
      <c r="D6" s="8"/>
      <c r="E6" s="8"/>
      <c r="F6" s="8"/>
      <c r="G6" s="8"/>
      <c r="H6" s="8"/>
      <c r="I6" s="9"/>
      <c r="J6" s="9"/>
      <c r="K6" s="9"/>
      <c r="L6" s="10">
        <f t="shared" ref="L6:N6" si="0">IFERROR(ROUND(AVERAGE(L7:L9),2),"")</f>
      </c>
      <c r="M6" s="10">
        <f t="shared" si="0"/>
      </c>
      <c r="N6" s="10">
        <f t="shared" si="0"/>
      </c>
    </row>
    <row r="7" ht="69.75" customHeight="1" spans="1:14" x14ac:dyDescent="0.25">
      <c r="A7" s="11" t="s">
        <v>140</v>
      </c>
      <c r="B7" s="18" t="s">
        <v>141</v>
      </c>
      <c r="C7" s="11" t="s">
        <v>38</v>
      </c>
      <c r="D7" s="11" t="s">
        <v>142</v>
      </c>
      <c r="E7" s="11" t="s">
        <v>143</v>
      </c>
      <c r="F7" s="11" t="s">
        <v>144</v>
      </c>
      <c r="G7" s="12">
        <v>46296</v>
      </c>
      <c r="H7" s="12">
        <v>46387</v>
      </c>
      <c r="I7" s="13" t="s">
        <v>145</v>
      </c>
      <c r="J7" s="11"/>
      <c r="K7" s="11" t="s">
        <v>146</v>
      </c>
      <c r="L7" s="14"/>
      <c r="M7" s="14"/>
      <c r="N7" s="14"/>
    </row>
    <row r="8" ht="69.75" customHeight="1" spans="1:14" x14ac:dyDescent="0.25">
      <c r="A8" s="11" t="s">
        <v>47</v>
      </c>
      <c r="B8" s="11" t="s">
        <v>147</v>
      </c>
      <c r="C8" s="11" t="s">
        <v>38</v>
      </c>
      <c r="D8" s="11" t="s">
        <v>148</v>
      </c>
      <c r="E8" s="11" t="s">
        <v>143</v>
      </c>
      <c r="F8" s="11" t="s">
        <v>42</v>
      </c>
      <c r="G8" s="12">
        <v>46296</v>
      </c>
      <c r="H8" s="12">
        <v>46387</v>
      </c>
      <c r="I8" s="13" t="s">
        <v>145</v>
      </c>
      <c r="J8" s="11"/>
      <c r="K8" s="11" t="s">
        <v>149</v>
      </c>
      <c r="L8" s="14"/>
      <c r="M8" s="14"/>
      <c r="N8" s="14"/>
    </row>
    <row r="9" ht="69.75" customHeight="1" spans="1:14" x14ac:dyDescent="0.25">
      <c r="A9" s="11" t="s">
        <v>54</v>
      </c>
      <c r="B9" s="11" t="s">
        <v>150</v>
      </c>
      <c r="C9" s="11" t="s">
        <v>50</v>
      </c>
      <c r="D9" s="11" t="s">
        <v>151</v>
      </c>
      <c r="E9" s="11" t="s">
        <v>152</v>
      </c>
      <c r="F9" s="11" t="s">
        <v>48</v>
      </c>
      <c r="G9" s="12">
        <v>46296</v>
      </c>
      <c r="H9" s="12">
        <v>46341</v>
      </c>
      <c r="I9" s="13" t="s">
        <v>145</v>
      </c>
      <c r="J9" s="11"/>
      <c r="K9" s="11" t="s">
        <v>153</v>
      </c>
      <c r="L9" s="14"/>
      <c r="M9" s="14"/>
      <c r="N9" s="14"/>
    </row>
    <row r="10" spans="1:14" x14ac:dyDescent="0.25">
      <c r="A10" s="7" t="s">
        <v>154</v>
      </c>
      <c r="B10" s="8"/>
      <c r="C10" s="8"/>
      <c r="D10" s="8"/>
      <c r="E10" s="8"/>
      <c r="F10" s="8"/>
      <c r="G10" s="8"/>
      <c r="H10" s="8"/>
      <c r="I10" s="9"/>
      <c r="J10" s="9"/>
      <c r="K10" s="9"/>
      <c r="L10" s="10">
        <f t="shared" ref="L10:N10" si="1">IFERROR(ROUND(AVERAGE(L11:L13),2),"")</f>
      </c>
      <c r="M10" s="10">
        <f t="shared" si="1"/>
      </c>
      <c r="N10" s="10">
        <f t="shared" si="1"/>
      </c>
    </row>
    <row r="11" ht="210" customHeight="1" spans="1:14" x14ac:dyDescent="0.25">
      <c r="A11" s="11" t="s">
        <v>155</v>
      </c>
      <c r="B11" s="11" t="s">
        <v>156</v>
      </c>
      <c r="C11" s="11" t="s">
        <v>57</v>
      </c>
      <c r="D11" s="11" t="s">
        <v>157</v>
      </c>
      <c r="E11" s="11" t="s">
        <v>143</v>
      </c>
      <c r="F11" s="11" t="s">
        <v>158</v>
      </c>
      <c r="G11" s="12">
        <v>46296</v>
      </c>
      <c r="H11" s="12">
        <v>46356</v>
      </c>
      <c r="I11" s="13"/>
      <c r="J11" s="11"/>
      <c r="K11" s="11" t="s">
        <v>159</v>
      </c>
      <c r="L11" s="14"/>
      <c r="M11" s="14"/>
      <c r="N11" s="14"/>
    </row>
    <row r="12" ht="82.5" customHeight="1" spans="1:14" x14ac:dyDescent="0.25">
      <c r="A12" s="11" t="s">
        <v>160</v>
      </c>
      <c r="B12" s="11" t="s">
        <v>161</v>
      </c>
      <c r="C12" s="11" t="s">
        <v>162</v>
      </c>
      <c r="D12" s="11" t="s">
        <v>163</v>
      </c>
      <c r="E12" s="11" t="s">
        <v>143</v>
      </c>
      <c r="F12" s="11" t="s">
        <v>164</v>
      </c>
      <c r="G12" s="12">
        <v>46296</v>
      </c>
      <c r="H12" s="12">
        <v>46387</v>
      </c>
      <c r="I12" s="13"/>
      <c r="J12" s="11"/>
      <c r="K12" s="11"/>
      <c r="L12" s="14"/>
      <c r="M12" s="14"/>
      <c r="N12" s="14"/>
    </row>
    <row r="13" ht="133.5" customHeight="1" spans="1:14" x14ac:dyDescent="0.25">
      <c r="A13" s="11" t="s">
        <v>26</v>
      </c>
      <c r="B13" s="11" t="s">
        <v>165</v>
      </c>
      <c r="C13" s="11" t="s">
        <v>166</v>
      </c>
      <c r="D13" s="11" t="s">
        <v>167</v>
      </c>
      <c r="E13" s="11" t="s">
        <v>143</v>
      </c>
      <c r="F13" s="11" t="s">
        <v>168</v>
      </c>
      <c r="G13" s="12">
        <v>46296</v>
      </c>
      <c r="H13" s="12">
        <v>46361</v>
      </c>
      <c r="I13" s="13"/>
      <c r="J13" s="11"/>
      <c r="K13" s="11" t="s">
        <v>169</v>
      </c>
      <c r="L13" s="14"/>
      <c r="M13" s="14"/>
      <c r="N13" s="14"/>
    </row>
    <row r="14" spans="1:14" x14ac:dyDescent="0.25">
      <c r="A14" s="7" t="s">
        <v>170</v>
      </c>
      <c r="B14" s="8"/>
      <c r="C14" s="8"/>
      <c r="D14" s="8"/>
      <c r="E14" s="8"/>
      <c r="F14" s="8"/>
      <c r="G14" s="8"/>
      <c r="H14" s="8"/>
      <c r="I14" s="9"/>
      <c r="J14" s="9"/>
      <c r="K14" s="9"/>
      <c r="L14" s="10">
        <f t="shared" ref="L14:N14" si="2">IFERROR(ROUND(AVERAGE(L15:L17),2),"")</f>
      </c>
      <c r="M14" s="10">
        <f t="shared" si="2"/>
      </c>
      <c r="N14" s="10">
        <f t="shared" si="2"/>
      </c>
    </row>
    <row r="15" ht="82.5" customHeight="1" spans="1:14" x14ac:dyDescent="0.25">
      <c r="A15" s="11" t="s">
        <v>171</v>
      </c>
      <c r="B15" s="11" t="s">
        <v>172</v>
      </c>
      <c r="C15" s="11" t="s">
        <v>173</v>
      </c>
      <c r="D15" s="11" t="s">
        <v>174</v>
      </c>
      <c r="E15" s="11" t="s">
        <v>152</v>
      </c>
      <c r="F15" s="11" t="s">
        <v>90</v>
      </c>
      <c r="G15" s="12">
        <v>46296</v>
      </c>
      <c r="H15" s="12">
        <v>46387</v>
      </c>
      <c r="I15" s="13"/>
      <c r="J15" s="11"/>
      <c r="K15" s="11" t="s">
        <v>175</v>
      </c>
      <c r="L15" s="14"/>
      <c r="M15" s="14"/>
      <c r="N15" s="14"/>
    </row>
    <row r="16" ht="69.75" customHeight="1" spans="1:14" x14ac:dyDescent="0.25">
      <c r="A16" s="11" t="s">
        <v>176</v>
      </c>
      <c r="B16" s="11" t="s">
        <v>177</v>
      </c>
      <c r="C16" s="11" t="s">
        <v>38</v>
      </c>
      <c r="D16" s="11" t="s">
        <v>178</v>
      </c>
      <c r="E16" s="11" t="s">
        <v>152</v>
      </c>
      <c r="F16" s="11" t="s">
        <v>179</v>
      </c>
      <c r="G16" s="12">
        <v>46296</v>
      </c>
      <c r="H16" s="12">
        <v>46387</v>
      </c>
      <c r="I16" s="13"/>
      <c r="J16" s="11"/>
      <c r="K16" s="11"/>
      <c r="L16" s="14"/>
      <c r="M16" s="14"/>
      <c r="N16" s="14"/>
    </row>
    <row r="17" ht="95.25" customHeight="1" spans="1:14" x14ac:dyDescent="0.25">
      <c r="A17" s="11" t="s">
        <v>180</v>
      </c>
      <c r="B17" s="11" t="s">
        <v>181</v>
      </c>
      <c r="C17" s="11" t="s">
        <v>182</v>
      </c>
      <c r="D17" s="11" t="s">
        <v>183</v>
      </c>
      <c r="E17" s="11" t="s">
        <v>152</v>
      </c>
      <c r="F17" s="11" t="s">
        <v>184</v>
      </c>
      <c r="G17" s="12">
        <v>46296</v>
      </c>
      <c r="H17" s="12">
        <v>46387</v>
      </c>
      <c r="I17" s="13"/>
      <c r="J17" s="11"/>
      <c r="K17" s="11"/>
      <c r="L17" s="14"/>
      <c r="M17" s="14"/>
      <c r="N17" s="14"/>
    </row>
    <row r="19" ht="15.75" customHeight="1" spans="1:1" x14ac:dyDescent="0.25">
      <c r="A19" s="19" t="s">
        <v>185</v>
      </c>
    </row>
    <row r="20" spans="1:1" x14ac:dyDescent="0.25">
      <c r="A20" s="2" t="s">
        <v>186</v>
      </c>
    </row>
    <row r="21" ht="15.75" customHeight="1" spans="1:14" x14ac:dyDescent="0.25">
      <c r="A21" s="6" t="s">
        <v>187</v>
      </c>
      <c r="B21" s="6" t="s">
        <v>188</v>
      </c>
      <c r="C21" s="6" t="s">
        <v>189</v>
      </c>
      <c r="D21" s="6" t="s">
        <v>190</v>
      </c>
      <c r="E21" s="6" t="s">
        <v>191</v>
      </c>
      <c r="F21" s="6" t="s">
        <v>192</v>
      </c>
      <c r="G21" s="6" t="s">
        <v>193</v>
      </c>
      <c r="H21" s="6" t="s">
        <v>194</v>
      </c>
      <c r="I21" s="6" t="s">
        <v>195</v>
      </c>
      <c r="J21" s="6" t="s">
        <v>16</v>
      </c>
      <c r="K21" s="6" t="s">
        <v>196</v>
      </c>
      <c r="L21" s="6" t="s">
        <v>18</v>
      </c>
      <c r="M21" s="6" t="s">
        <v>19</v>
      </c>
      <c r="N21" s="6" t="s">
        <v>197</v>
      </c>
    </row>
    <row r="22" ht="82.5" customHeight="1" spans="1:14" x14ac:dyDescent="0.25">
      <c r="A22" s="11" t="s">
        <v>198</v>
      </c>
      <c r="B22" s="11" t="s">
        <v>199</v>
      </c>
      <c r="C22" s="11" t="s">
        <v>200</v>
      </c>
      <c r="D22" s="11" t="s">
        <v>201</v>
      </c>
      <c r="E22" s="11" t="s">
        <v>202</v>
      </c>
      <c r="F22" s="11" t="s">
        <v>203</v>
      </c>
      <c r="G22" s="11" t="s">
        <v>204</v>
      </c>
      <c r="H22" s="11" t="s">
        <v>205</v>
      </c>
      <c r="I22" s="13"/>
      <c r="J22" s="13"/>
      <c r="K22" s="11"/>
      <c r="L22" s="13"/>
      <c r="M22" s="13"/>
      <c r="N22" s="13"/>
    </row>
    <row r="23" ht="57" customHeight="1" spans="1:14" x14ac:dyDescent="0.25">
      <c r="A23" s="11" t="s">
        <v>206</v>
      </c>
      <c r="B23" s="11" t="s">
        <v>207</v>
      </c>
      <c r="C23" s="11" t="s">
        <v>208</v>
      </c>
      <c r="D23" s="11" t="s">
        <v>201</v>
      </c>
      <c r="E23" s="11" t="s">
        <v>202</v>
      </c>
      <c r="F23" s="11" t="s">
        <v>209</v>
      </c>
      <c r="G23" s="11" t="s">
        <v>204</v>
      </c>
      <c r="H23" s="11" t="s">
        <v>210</v>
      </c>
      <c r="I23" s="13"/>
      <c r="J23" s="13"/>
      <c r="K23" s="11"/>
      <c r="L23" s="13"/>
      <c r="M23" s="13"/>
      <c r="N23" s="13"/>
    </row>
    <row r="24" ht="82.5" customHeight="1" spans="1:14" x14ac:dyDescent="0.25">
      <c r="A24" s="11" t="s">
        <v>211</v>
      </c>
      <c r="B24" s="11" t="s">
        <v>212</v>
      </c>
      <c r="C24" s="11" t="s">
        <v>213</v>
      </c>
      <c r="D24" s="11" t="s">
        <v>201</v>
      </c>
      <c r="E24" s="11" t="s">
        <v>202</v>
      </c>
      <c r="F24" s="11" t="s">
        <v>214</v>
      </c>
      <c r="G24" s="11" t="s">
        <v>215</v>
      </c>
      <c r="H24" s="11" t="s">
        <v>216</v>
      </c>
      <c r="I24" s="13"/>
      <c r="J24" s="13"/>
      <c r="K24" s="11"/>
      <c r="L24" s="13"/>
      <c r="M24" s="13"/>
      <c r="N24" s="13"/>
    </row>
    <row r="25" ht="57" customHeight="1" spans="1:14" x14ac:dyDescent="0.25">
      <c r="A25" s="11" t="s">
        <v>217</v>
      </c>
      <c r="B25" s="11" t="s">
        <v>218</v>
      </c>
      <c r="C25" s="11" t="s">
        <v>219</v>
      </c>
      <c r="D25" s="11" t="s">
        <v>201</v>
      </c>
      <c r="E25" s="11" t="s">
        <v>202</v>
      </c>
      <c r="F25" s="11" t="s">
        <v>214</v>
      </c>
      <c r="G25" s="11" t="s">
        <v>215</v>
      </c>
      <c r="H25" s="11" t="s">
        <v>220</v>
      </c>
      <c r="I25" s="13"/>
      <c r="J25" s="13"/>
      <c r="K25" s="11"/>
      <c r="L25" s="13"/>
      <c r="M25" s="13"/>
      <c r="N25" s="13"/>
    </row>
    <row r="26" ht="69.75" customHeight="1" spans="1:14" x14ac:dyDescent="0.25">
      <c r="A26" s="11" t="s">
        <v>221</v>
      </c>
      <c r="B26" s="11" t="s">
        <v>222</v>
      </c>
      <c r="C26" s="11" t="s">
        <v>223</v>
      </c>
      <c r="D26" s="11" t="s">
        <v>224</v>
      </c>
      <c r="E26" s="11" t="s">
        <v>225</v>
      </c>
      <c r="F26" s="11" t="s">
        <v>226</v>
      </c>
      <c r="G26" s="11" t="s">
        <v>227</v>
      </c>
      <c r="H26" s="11" t="s">
        <v>228</v>
      </c>
      <c r="I26" s="13"/>
      <c r="J26" s="13"/>
      <c r="K26" s="11"/>
      <c r="L26" s="13"/>
      <c r="M26" s="13"/>
      <c r="N26" s="13"/>
    </row>
    <row r="27" ht="69.75" customHeight="1" spans="1:14" x14ac:dyDescent="0.25">
      <c r="A27" s="11" t="s">
        <v>229</v>
      </c>
      <c r="B27" s="11" t="s">
        <v>230</v>
      </c>
      <c r="C27" s="11" t="s">
        <v>231</v>
      </c>
      <c r="D27" s="11" t="s">
        <v>201</v>
      </c>
      <c r="E27" s="11" t="s">
        <v>202</v>
      </c>
      <c r="F27" s="11" t="s">
        <v>214</v>
      </c>
      <c r="G27" s="11" t="s">
        <v>232</v>
      </c>
      <c r="H27" s="11" t="s">
        <v>233</v>
      </c>
      <c r="I27" s="13"/>
      <c r="J27" s="13"/>
      <c r="K27" s="11"/>
      <c r="L27" s="13"/>
      <c r="M27" s="13"/>
      <c r="N27" s="13"/>
    </row>
    <row r="28" ht="69.75" customHeight="1" spans="1:14" x14ac:dyDescent="0.25">
      <c r="A28" s="11" t="s">
        <v>234</v>
      </c>
      <c r="B28" s="11" t="s">
        <v>235</v>
      </c>
      <c r="C28" s="11" t="s">
        <v>236</v>
      </c>
      <c r="D28" s="11" t="s">
        <v>201</v>
      </c>
      <c r="E28" s="11" t="s">
        <v>202</v>
      </c>
      <c r="F28" s="11" t="s">
        <v>214</v>
      </c>
      <c r="G28" s="11" t="s">
        <v>237</v>
      </c>
      <c r="H28" s="11" t="s">
        <v>238</v>
      </c>
      <c r="I28" s="13"/>
      <c r="J28" s="13"/>
      <c r="K28" s="11"/>
      <c r="L28" s="13"/>
      <c r="M28" s="13"/>
      <c r="N28" s="13"/>
    </row>
    <row r="29" ht="69.75" customHeight="1" spans="1:14" x14ac:dyDescent="0.25">
      <c r="A29" s="11" t="s">
        <v>239</v>
      </c>
      <c r="B29" s="11" t="s">
        <v>240</v>
      </c>
      <c r="C29" s="11" t="s">
        <v>241</v>
      </c>
      <c r="D29" s="11" t="s">
        <v>201</v>
      </c>
      <c r="E29" s="11" t="s">
        <v>202</v>
      </c>
      <c r="F29" s="11" t="s">
        <v>242</v>
      </c>
      <c r="G29" s="11" t="s">
        <v>243</v>
      </c>
      <c r="H29" s="11" t="s">
        <v>244</v>
      </c>
      <c r="I29" s="13"/>
      <c r="J29" s="13"/>
      <c r="K29" s="11"/>
      <c r="L29" s="13"/>
      <c r="M29" s="13"/>
      <c r="N29" s="13"/>
    </row>
    <row r="30" ht="57" customHeight="1" spans="1:14" x14ac:dyDescent="0.25">
      <c r="A30" s="11" t="s">
        <v>245</v>
      </c>
      <c r="B30" s="11" t="s">
        <v>246</v>
      </c>
      <c r="C30" s="11" t="s">
        <v>247</v>
      </c>
      <c r="D30" s="11" t="s">
        <v>224</v>
      </c>
      <c r="E30" s="11" t="s">
        <v>225</v>
      </c>
      <c r="F30" s="11" t="s">
        <v>226</v>
      </c>
      <c r="G30" s="11" t="s">
        <v>248</v>
      </c>
      <c r="H30" s="11" t="s">
        <v>249</v>
      </c>
      <c r="I30" s="13"/>
      <c r="J30" s="13"/>
      <c r="K30" s="11"/>
      <c r="L30" s="13"/>
      <c r="M30" s="13"/>
      <c r="N30" s="13"/>
    </row>
    <row r="31" ht="57" customHeight="1" spans="1:14" x14ac:dyDescent="0.25">
      <c r="A31" s="11" t="s">
        <v>250</v>
      </c>
      <c r="B31" s="11" t="s">
        <v>251</v>
      </c>
      <c r="C31" s="11" t="s">
        <v>252</v>
      </c>
      <c r="D31" s="11" t="s">
        <v>201</v>
      </c>
      <c r="E31" s="11" t="s">
        <v>202</v>
      </c>
      <c r="F31" s="11" t="s">
        <v>253</v>
      </c>
      <c r="G31" s="11" t="s">
        <v>204</v>
      </c>
      <c r="H31" s="11" t="s">
        <v>254</v>
      </c>
      <c r="I31" s="13"/>
      <c r="J31" s="13"/>
      <c r="K31" s="11"/>
      <c r="L31" s="13"/>
      <c r="M31" s="13"/>
      <c r="N31" s="13"/>
    </row>
    <row r="32" ht="57" customHeight="1" spans="1:14" x14ac:dyDescent="0.25">
      <c r="A32" s="11" t="s">
        <v>255</v>
      </c>
      <c r="B32" s="11" t="s">
        <v>256</v>
      </c>
      <c r="C32" s="11" t="s">
        <v>257</v>
      </c>
      <c r="D32" s="11" t="s">
        <v>224</v>
      </c>
      <c r="E32" s="11" t="s">
        <v>225</v>
      </c>
      <c r="F32" s="11" t="s">
        <v>226</v>
      </c>
      <c r="G32" s="11" t="s">
        <v>227</v>
      </c>
      <c r="H32" s="11" t="s">
        <v>254</v>
      </c>
      <c r="I32" s="13"/>
      <c r="J32" s="13"/>
      <c r="K32" s="11"/>
      <c r="L32" s="13"/>
      <c r="M32" s="13"/>
      <c r="N32" s="13"/>
    </row>
    <row r="33" ht="69.75" customHeight="1" spans="1:14" x14ac:dyDescent="0.25">
      <c r="A33" s="11" t="s">
        <v>258</v>
      </c>
      <c r="B33" s="11" t="s">
        <v>259</v>
      </c>
      <c r="C33" s="11" t="s">
        <v>260</v>
      </c>
      <c r="D33" s="11" t="s">
        <v>201</v>
      </c>
      <c r="E33" s="11" t="s">
        <v>202</v>
      </c>
      <c r="F33" s="11" t="s">
        <v>253</v>
      </c>
      <c r="G33" s="11" t="s">
        <v>204</v>
      </c>
      <c r="H33" s="11" t="s">
        <v>261</v>
      </c>
      <c r="I33" s="13"/>
      <c r="J33" s="13"/>
      <c r="K33" s="11"/>
      <c r="L33" s="13"/>
      <c r="M33" s="13"/>
      <c r="N33" s="13"/>
    </row>
    <row r="34" ht="57" customHeight="1" spans="1:14" x14ac:dyDescent="0.25">
      <c r="A34" s="11" t="s">
        <v>262</v>
      </c>
      <c r="B34" s="11" t="s">
        <v>263</v>
      </c>
      <c r="C34" s="11" t="s">
        <v>264</v>
      </c>
      <c r="D34" s="11" t="s">
        <v>201</v>
      </c>
      <c r="E34" s="11" t="s">
        <v>202</v>
      </c>
      <c r="F34" s="11" t="s">
        <v>209</v>
      </c>
      <c r="G34" s="11" t="s">
        <v>265</v>
      </c>
      <c r="H34" s="11" t="s">
        <v>266</v>
      </c>
      <c r="I34" s="13"/>
      <c r="J34" s="13"/>
      <c r="K34" s="11"/>
      <c r="L34" s="13"/>
      <c r="M34" s="13"/>
      <c r="N34" s="13"/>
    </row>
    <row r="35" ht="108" customHeight="1" spans="1:14" x14ac:dyDescent="0.25">
      <c r="A35" s="11" t="s">
        <v>267</v>
      </c>
      <c r="B35" s="11" t="s">
        <v>268</v>
      </c>
      <c r="C35" s="11" t="s">
        <v>269</v>
      </c>
      <c r="D35" s="11" t="s">
        <v>201</v>
      </c>
      <c r="E35" s="11" t="s">
        <v>202</v>
      </c>
      <c r="F35" s="11" t="s">
        <v>214</v>
      </c>
      <c r="G35" s="11" t="s">
        <v>215</v>
      </c>
      <c r="H35" s="11" t="s">
        <v>270</v>
      </c>
      <c r="I35" s="13"/>
      <c r="J35" s="13"/>
      <c r="K35" s="11"/>
      <c r="L35" s="13"/>
      <c r="M35" s="13"/>
      <c r="N35" s="13"/>
    </row>
    <row r="36" ht="57" customHeight="1" spans="1:14" x14ac:dyDescent="0.25">
      <c r="A36" s="11" t="s">
        <v>271</v>
      </c>
      <c r="B36" s="11" t="s">
        <v>272</v>
      </c>
      <c r="C36" s="11" t="s">
        <v>273</v>
      </c>
      <c r="D36" s="11" t="s">
        <v>201</v>
      </c>
      <c r="E36" s="11" t="s">
        <v>202</v>
      </c>
      <c r="F36" s="11" t="s">
        <v>274</v>
      </c>
      <c r="G36" s="11" t="s">
        <v>204</v>
      </c>
      <c r="H36" s="11" t="s">
        <v>275</v>
      </c>
      <c r="I36" s="13"/>
      <c r="J36" s="13"/>
      <c r="K36" s="11"/>
      <c r="L36" s="13"/>
      <c r="M36" s="13"/>
      <c r="N36" s="13"/>
    </row>
    <row r="37" ht="15.75" customHeight="1" spans="1:1" x14ac:dyDescent="0.25">
      <c r="A37" s="2" t="s">
        <v>276</v>
      </c>
    </row>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5">
    <mergeCell ref="I4:K4"/>
    <mergeCell ref="L4:N4"/>
    <mergeCell ref="A6:H6"/>
    <mergeCell ref="A10:H10"/>
    <mergeCell ref="A14:H14"/>
  </mergeCells>
  <conditionalFormatting sqref="I6:I17">
    <cfRule type="expression" dxfId="10" priority="1">
      <formula>I6="Done"</formula>
    </cfRule>
  </conditionalFormatting>
  <conditionalFormatting sqref="I6:I17">
    <cfRule type="expression" dxfId="11" priority="2">
      <formula>I6="On track"</formula>
    </cfRule>
  </conditionalFormatting>
  <conditionalFormatting sqref="I6:I17">
    <cfRule type="expression" dxfId="12" priority="3">
      <formula>I6="Met"</formula>
    </cfRule>
  </conditionalFormatting>
  <conditionalFormatting sqref="I6:I17">
    <cfRule type="expression" dxfId="13" priority="4">
      <formula>I6="At risk"</formula>
    </cfRule>
  </conditionalFormatting>
  <conditionalFormatting sqref="I6:I17">
    <cfRule type="expression" dxfId="14" priority="5">
      <formula>I6="Off track"</formula>
    </cfRule>
  </conditionalFormatting>
  <conditionalFormatting sqref="I6:I17">
    <cfRule type="expression" dxfId="15" priority="6">
      <formula>I6="Missed"</formula>
    </cfRule>
  </conditionalFormatting>
  <conditionalFormatting sqref="I6:I17">
    <cfRule type="expression" dxfId="16" priority="7">
      <formula>I6="Not met"</formula>
    </cfRule>
  </conditionalFormatting>
  <conditionalFormatting sqref="I22:I36">
    <cfRule type="expression" dxfId="17" priority="8">
      <formula>I22="Done"</formula>
    </cfRule>
  </conditionalFormatting>
  <conditionalFormatting sqref="I22:I36">
    <cfRule type="expression" dxfId="18" priority="9">
      <formula>I22="On track"</formula>
    </cfRule>
  </conditionalFormatting>
  <conditionalFormatting sqref="I22:I36">
    <cfRule type="expression" dxfId="19" priority="10">
      <formula>I22="Met"</formula>
    </cfRule>
  </conditionalFormatting>
  <conditionalFormatting sqref="I22:I36">
    <cfRule type="expression" dxfId="20" priority="11">
      <formula>I22="At risk"</formula>
    </cfRule>
  </conditionalFormatting>
  <conditionalFormatting sqref="I22:I36">
    <cfRule type="expression" dxfId="21" priority="12">
      <formula>I22="Off track"</formula>
    </cfRule>
  </conditionalFormatting>
  <conditionalFormatting sqref="I22:I36">
    <cfRule type="expression" dxfId="22" priority="13">
      <formula>I22="Missed"</formula>
    </cfRule>
  </conditionalFormatting>
  <conditionalFormatting sqref="I22:I36">
    <cfRule type="expression" dxfId="23" priority="14">
      <formula>I22="Not met"</formula>
    </cfRule>
  </conditionalFormatting>
  <conditionalFormatting sqref="L6:N17">
    <cfRule type="expression" dxfId="24" priority="15">
      <formula>AND(ISNUMBER(L6),L6&gt;=0.7)</formula>
    </cfRule>
  </conditionalFormatting>
  <conditionalFormatting sqref="L6:N17">
    <cfRule type="expression" dxfId="25" priority="16">
      <formula>AND(ISNUMBER(L6),L6&gt;=0.4,L6&lt;0.7)</formula>
    </cfRule>
  </conditionalFormatting>
  <conditionalFormatting sqref="L6:N17">
    <cfRule type="expression" dxfId="26" priority="17">
      <formula>AND(ISNUMBER(L6),L6&lt;0.4)</formula>
    </cfRule>
  </conditionalFormatting>
  <dataValidations count="5">
    <dataValidation type="list" allowBlank="1" sqref="I10:I17">
      <formula1>"Not started,On track,At risk,Off track,Done,Missed"</formula1>
    </dataValidation>
    <dataValidation type="list" allowBlank="1" sqref="I22:I36">
      <formula1>"Met,Not met,N/A"</formula1>
    </dataValidation>
    <dataValidation type="list" allowBlank="1" sqref="I6:I17">
      <formula1>"Not started,On track,At risk,Off track,Done,Missed"</formula1>
    </dataValidation>
    <dataValidation type="decimal" allowBlank="1" sqref="L10:N17">
      <formula1>0</formula1>
      <formula2>1</formula2>
    </dataValidation>
    <dataValidation type="decimal" allowBlank="1" sqref="L6:N17">
      <formula1>0</formula1>
      <formula2>1</formula2>
    </dataValidation>
  </dataValidations>
  <pageMargins left="0.75" right="0.75" top="1" bottom="1" header="0" footer="0"/>
  <pageSetup orientation="landscape"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14239"/>
  </sheetPr>
  <dimension ref="A1:N1000"/>
  <sheetViews>
    <sheetView workbookViewId="0" showGridLines="0" zoomScale="100" zoomScaleNormal="100">
      <pane xSplit="2" ySplit="5" topLeftCell="C6" activePane="bottomRight" state="frozen"/>
      <selection pane="bottomRight" activeCell="C6" sqref="C6"/>
    </sheetView>
  </sheetViews>
  <sheetFormatPr defaultRowHeight="15" outlineLevelRow="0" outlineLevelCol="0" x14ac:dyDescent="0" defaultColWidth="14.43"/>
  <cols>
    <col min="1" max="1" width="11" customWidth="1"/>
    <col min="2" max="2" width="58" customWidth="1"/>
    <col min="3" max="3" width="20" customWidth="1"/>
    <col min="4" max="4" width="62" customWidth="1"/>
    <col min="5" max="5" width="20" customWidth="1"/>
    <col min="6" max="6" width="18" customWidth="1"/>
    <col min="7" max="9" width="12" customWidth="1"/>
    <col min="10" max="10" width="18" customWidth="1"/>
    <col min="11" max="11" width="44" customWidth="1"/>
    <col min="14" max="14" width="11" customWidth="1"/>
    <col min="15" max="26" width="8.86" customWidth="1"/>
  </cols>
  <sheetData>
    <row r="1" ht="18" customHeight="1" spans="1:1" x14ac:dyDescent="0.25">
      <c r="A1" s="1" t="s">
        <v>277</v>
      </c>
    </row>
    <row r="2" spans="1:1" x14ac:dyDescent="0.25">
      <c r="A2" s="2" t="s">
        <v>278</v>
      </c>
    </row>
    <row r="3" spans="1:1" x14ac:dyDescent="0.25">
      <c r="A3" s="2" t="s">
        <v>279</v>
      </c>
    </row>
    <row r="4" spans="9:14" x14ac:dyDescent="0.25">
      <c r="I4" s="3" t="s">
        <v>3</v>
      </c>
      <c r="J4" s="4"/>
      <c r="K4" s="5"/>
      <c r="L4" s="3" t="s">
        <v>4</v>
      </c>
      <c r="M4" s="4"/>
      <c r="N4" s="5"/>
    </row>
    <row r="5" ht="27.75" customHeight="1" spans="1:14" x14ac:dyDescent="0.25">
      <c r="A5" s="6" t="s">
        <v>5</v>
      </c>
      <c r="B5" s="6" t="s">
        <v>6</v>
      </c>
      <c r="C5" s="6" t="s">
        <v>7</v>
      </c>
      <c r="D5" s="6" t="s">
        <v>13</v>
      </c>
      <c r="E5" s="6" t="s">
        <v>137</v>
      </c>
      <c r="F5" s="6" t="s">
        <v>138</v>
      </c>
      <c r="G5" s="6" t="s">
        <v>11</v>
      </c>
      <c r="H5" s="6" t="s">
        <v>12</v>
      </c>
      <c r="I5" s="6" t="s">
        <v>15</v>
      </c>
      <c r="J5" s="6" t="s">
        <v>16</v>
      </c>
      <c r="K5" s="6" t="s">
        <v>17</v>
      </c>
      <c r="L5" s="6" t="s">
        <v>18</v>
      </c>
      <c r="M5" s="6" t="s">
        <v>19</v>
      </c>
      <c r="N5" s="6" t="s">
        <v>20</v>
      </c>
    </row>
    <row r="6" spans="1:14" x14ac:dyDescent="0.25">
      <c r="A6" s="7" t="s">
        <v>280</v>
      </c>
      <c r="B6" s="8"/>
      <c r="C6" s="8"/>
      <c r="D6" s="8"/>
      <c r="E6" s="8"/>
      <c r="F6" s="8"/>
      <c r="G6" s="8"/>
      <c r="H6" s="8"/>
      <c r="I6" s="9"/>
      <c r="J6" s="9"/>
      <c r="K6" s="9"/>
      <c r="L6" s="10">
        <f t="shared" ref="L6:N6" si="0">IFERROR(ROUND(AVERAGE(L7:L9),2),"")</f>
      </c>
      <c r="M6" s="10">
        <f t="shared" si="0"/>
      </c>
      <c r="N6" s="10">
        <f t="shared" si="0"/>
      </c>
    </row>
    <row r="7" ht="108" customHeight="1" spans="1:14" x14ac:dyDescent="0.25">
      <c r="A7" s="11" t="s">
        <v>89</v>
      </c>
      <c r="B7" s="11" t="s">
        <v>281</v>
      </c>
      <c r="C7" s="11" t="s">
        <v>84</v>
      </c>
      <c r="D7" s="11" t="s">
        <v>282</v>
      </c>
      <c r="E7" s="11" t="s">
        <v>283</v>
      </c>
      <c r="F7" s="11" t="s">
        <v>82</v>
      </c>
      <c r="G7" s="12">
        <v>46327</v>
      </c>
      <c r="H7" s="12">
        <v>46387</v>
      </c>
      <c r="I7" s="13"/>
      <c r="J7" s="11"/>
      <c r="K7" s="11" t="s">
        <v>284</v>
      </c>
      <c r="L7" s="14"/>
      <c r="M7" s="14"/>
      <c r="N7" s="14"/>
    </row>
    <row r="8" ht="108" customHeight="1" spans="1:14" x14ac:dyDescent="0.25">
      <c r="A8" s="11" t="s">
        <v>95</v>
      </c>
      <c r="B8" s="11" t="s">
        <v>91</v>
      </c>
      <c r="C8" s="11" t="s">
        <v>84</v>
      </c>
      <c r="D8" s="11" t="s">
        <v>285</v>
      </c>
      <c r="E8" s="11" t="s">
        <v>283</v>
      </c>
      <c r="F8" s="11" t="s">
        <v>90</v>
      </c>
      <c r="G8" s="12">
        <v>46327</v>
      </c>
      <c r="H8" s="12">
        <v>46387</v>
      </c>
      <c r="I8" s="13"/>
      <c r="J8" s="11"/>
      <c r="K8" s="11"/>
      <c r="L8" s="14"/>
      <c r="M8" s="14"/>
      <c r="N8" s="14"/>
    </row>
    <row r="9" ht="146.25" customHeight="1" spans="1:14" x14ac:dyDescent="0.25">
      <c r="A9" s="11" t="s">
        <v>286</v>
      </c>
      <c r="B9" s="11" t="s">
        <v>287</v>
      </c>
      <c r="C9" s="11" t="s">
        <v>38</v>
      </c>
      <c r="D9" s="11" t="s">
        <v>288</v>
      </c>
      <c r="E9" s="11" t="s">
        <v>283</v>
      </c>
      <c r="F9" s="11" t="s">
        <v>96</v>
      </c>
      <c r="G9" s="12">
        <v>46296</v>
      </c>
      <c r="H9" s="12">
        <v>46387</v>
      </c>
      <c r="I9" s="13"/>
      <c r="J9" s="11"/>
      <c r="K9" s="11"/>
      <c r="L9" s="14"/>
      <c r="M9" s="14"/>
      <c r="N9" s="14"/>
    </row>
    <row r="10" spans="1:14" x14ac:dyDescent="0.25">
      <c r="A10" s="7" t="s">
        <v>289</v>
      </c>
      <c r="B10" s="8"/>
      <c r="C10" s="8"/>
      <c r="D10" s="8"/>
      <c r="E10" s="8"/>
      <c r="F10" s="8"/>
      <c r="G10" s="8"/>
      <c r="H10" s="8"/>
      <c r="I10" s="9"/>
      <c r="J10" s="9"/>
      <c r="K10" s="9"/>
      <c r="L10" s="10">
        <f t="shared" ref="L10:N10" si="1">IFERROR(ROUND(AVERAGE(L11:L13),2),"")</f>
      </c>
      <c r="M10" s="10">
        <f t="shared" si="1"/>
      </c>
      <c r="N10" s="10">
        <f t="shared" si="1"/>
      </c>
    </row>
    <row r="11" ht="69.75" customHeight="1" spans="1:14" x14ac:dyDescent="0.25">
      <c r="A11" s="11" t="s">
        <v>290</v>
      </c>
      <c r="B11" s="11" t="s">
        <v>291</v>
      </c>
      <c r="C11" s="11" t="s">
        <v>38</v>
      </c>
      <c r="D11" s="11" t="s">
        <v>292</v>
      </c>
      <c r="E11" s="11" t="s">
        <v>283</v>
      </c>
      <c r="F11" s="11" t="s">
        <v>62</v>
      </c>
      <c r="G11" s="12">
        <v>46296</v>
      </c>
      <c r="H11" s="12">
        <v>46387</v>
      </c>
      <c r="I11" s="13"/>
      <c r="J11" s="11"/>
      <c r="K11" s="11" t="s">
        <v>293</v>
      </c>
      <c r="L11" s="14"/>
      <c r="M11" s="14"/>
      <c r="N11" s="14"/>
    </row>
    <row r="12" spans="1:14" x14ac:dyDescent="0.25">
      <c r="A12" s="11" t="s">
        <v>294</v>
      </c>
      <c r="B12" s="11" t="s">
        <v>295</v>
      </c>
      <c r="C12" s="11" t="s">
        <v>38</v>
      </c>
      <c r="D12" s="11" t="s">
        <v>296</v>
      </c>
      <c r="E12" s="11" t="s">
        <v>283</v>
      </c>
      <c r="F12" s="11" t="s">
        <v>75</v>
      </c>
      <c r="G12" s="12">
        <v>46296</v>
      </c>
      <c r="H12" s="12">
        <v>46387</v>
      </c>
      <c r="I12" s="13"/>
      <c r="J12" s="11"/>
      <c r="K12" s="11" t="s">
        <v>297</v>
      </c>
      <c r="L12" s="14"/>
      <c r="M12" s="14"/>
      <c r="N12" s="14"/>
    </row>
    <row r="13" ht="82.5" customHeight="1" spans="1:14" x14ac:dyDescent="0.25">
      <c r="A13" s="11" t="s">
        <v>298</v>
      </c>
      <c r="B13" s="11" t="s">
        <v>299</v>
      </c>
      <c r="C13" s="11" t="s">
        <v>38</v>
      </c>
      <c r="D13" s="11" t="s">
        <v>300</v>
      </c>
      <c r="E13" s="11" t="s">
        <v>283</v>
      </c>
      <c r="F13" s="11" t="s">
        <v>62</v>
      </c>
      <c r="G13" s="12">
        <v>46296</v>
      </c>
      <c r="H13" s="12">
        <v>46387</v>
      </c>
      <c r="I13" s="13"/>
      <c r="J13" s="11"/>
      <c r="K13" s="11"/>
      <c r="L13" s="14"/>
      <c r="M13" s="14"/>
      <c r="N13" s="14"/>
    </row>
    <row r="14" spans="1:14" x14ac:dyDescent="0.25">
      <c r="A14" s="7" t="s">
        <v>301</v>
      </c>
      <c r="B14" s="8"/>
      <c r="C14" s="8"/>
      <c r="D14" s="8"/>
      <c r="E14" s="8"/>
      <c r="F14" s="8"/>
      <c r="G14" s="8"/>
      <c r="H14" s="8"/>
      <c r="I14" s="9"/>
      <c r="J14" s="9"/>
      <c r="K14" s="9"/>
      <c r="L14" s="10">
        <f t="shared" ref="L14:N14" si="2">IFERROR(ROUND(AVERAGE(L15:L16),2),"")</f>
      </c>
      <c r="M14" s="10">
        <f t="shared" si="2"/>
      </c>
      <c r="N14" s="10">
        <f t="shared" si="2"/>
      </c>
    </row>
    <row r="15" ht="44.25" customHeight="1" spans="1:14" x14ac:dyDescent="0.25">
      <c r="A15" s="11" t="s">
        <v>302</v>
      </c>
      <c r="B15" s="11" t="s">
        <v>303</v>
      </c>
      <c r="C15" s="11" t="s">
        <v>304</v>
      </c>
      <c r="D15" s="11" t="s">
        <v>305</v>
      </c>
      <c r="E15" s="11" t="s">
        <v>283</v>
      </c>
      <c r="F15" s="11" t="s">
        <v>306</v>
      </c>
      <c r="G15" s="12">
        <v>46296</v>
      </c>
      <c r="H15" s="12">
        <v>46326</v>
      </c>
      <c r="I15" s="13"/>
      <c r="J15" s="11"/>
      <c r="K15" s="11"/>
      <c r="L15" s="14"/>
      <c r="M15" s="14"/>
      <c r="N15" s="14"/>
    </row>
    <row r="16" ht="69.75" customHeight="1" spans="1:14" x14ac:dyDescent="0.25">
      <c r="A16" s="11" t="s">
        <v>307</v>
      </c>
      <c r="B16" s="11" t="s">
        <v>308</v>
      </c>
      <c r="C16" s="11" t="s">
        <v>309</v>
      </c>
      <c r="D16" s="11" t="s">
        <v>310</v>
      </c>
      <c r="E16" s="11" t="s">
        <v>283</v>
      </c>
      <c r="F16" s="11" t="s">
        <v>306</v>
      </c>
      <c r="G16" s="12">
        <v>46296</v>
      </c>
      <c r="H16" s="12">
        <v>46371</v>
      </c>
      <c r="I16" s="13"/>
      <c r="J16" s="11"/>
      <c r="K16" s="11"/>
      <c r="L16" s="14"/>
      <c r="M16" s="14"/>
      <c r="N16" s="14"/>
    </row>
    <row r="17" spans="1:14" x14ac:dyDescent="0.25">
      <c r="A17" s="7" t="s">
        <v>311</v>
      </c>
      <c r="B17" s="8"/>
      <c r="C17" s="8"/>
      <c r="D17" s="8"/>
      <c r="E17" s="8"/>
      <c r="F17" s="8"/>
      <c r="G17" s="8"/>
      <c r="H17" s="8"/>
      <c r="I17" s="9"/>
      <c r="J17" s="9"/>
      <c r="K17" s="9"/>
      <c r="L17" s="10">
        <f t="shared" ref="L17:N17" si="3">IFERROR(ROUND(AVERAGE(L18:L19),2),"")</f>
      </c>
      <c r="M17" s="10">
        <f t="shared" si="3"/>
      </c>
      <c r="N17" s="10">
        <f t="shared" si="3"/>
      </c>
    </row>
    <row r="18" ht="120.75" customHeight="1" spans="1:14" x14ac:dyDescent="0.25">
      <c r="A18" s="11" t="s">
        <v>312</v>
      </c>
      <c r="B18" s="11" t="s">
        <v>313</v>
      </c>
      <c r="C18" s="11" t="s">
        <v>38</v>
      </c>
      <c r="D18" s="11" t="s">
        <v>314</v>
      </c>
      <c r="E18" s="11" t="s">
        <v>283</v>
      </c>
      <c r="F18" s="11" t="s">
        <v>96</v>
      </c>
      <c r="G18" s="12">
        <v>46296</v>
      </c>
      <c r="H18" s="12">
        <v>46387</v>
      </c>
      <c r="I18" s="13"/>
      <c r="J18" s="11"/>
      <c r="K18" s="20" t="s">
        <v>315</v>
      </c>
      <c r="L18" s="14"/>
      <c r="M18" s="14"/>
      <c r="N18" s="14"/>
    </row>
    <row r="19" ht="82.5" customHeight="1" spans="1:14" x14ac:dyDescent="0.25">
      <c r="A19" s="11" t="s">
        <v>316</v>
      </c>
      <c r="B19" s="11" t="s">
        <v>317</v>
      </c>
      <c r="C19" s="11" t="s">
        <v>318</v>
      </c>
      <c r="D19" s="11" t="s">
        <v>319</v>
      </c>
      <c r="E19" s="11" t="s">
        <v>283</v>
      </c>
      <c r="F19" s="11" t="s">
        <v>320</v>
      </c>
      <c r="G19" s="12">
        <v>46296</v>
      </c>
      <c r="H19" s="12">
        <v>46371</v>
      </c>
      <c r="I19" s="13"/>
      <c r="J19" s="11"/>
      <c r="K19" s="11"/>
      <c r="L19" s="14"/>
      <c r="M19" s="14"/>
      <c r="N19" s="14"/>
    </row>
    <row r="21" ht="15.75" customHeight="1" spans="1:1" x14ac:dyDescent="0.25">
      <c r="A21" s="19" t="s">
        <v>185</v>
      </c>
    </row>
    <row r="22" ht="15.75" customHeight="1" spans="1:1" x14ac:dyDescent="0.25">
      <c r="A22" s="2" t="s">
        <v>186</v>
      </c>
    </row>
    <row r="23" ht="15.75" customHeight="1" spans="1:14" x14ac:dyDescent="0.25">
      <c r="A23" s="6" t="s">
        <v>187</v>
      </c>
      <c r="B23" s="6" t="s">
        <v>188</v>
      </c>
      <c r="C23" s="6" t="s">
        <v>189</v>
      </c>
      <c r="D23" s="6" t="s">
        <v>190</v>
      </c>
      <c r="E23" s="6" t="s">
        <v>191</v>
      </c>
      <c r="F23" s="6" t="s">
        <v>192</v>
      </c>
      <c r="G23" s="6" t="s">
        <v>193</v>
      </c>
      <c r="H23" s="6" t="s">
        <v>194</v>
      </c>
      <c r="I23" s="6" t="s">
        <v>195</v>
      </c>
      <c r="J23" s="6" t="s">
        <v>16</v>
      </c>
      <c r="K23" s="6" t="s">
        <v>196</v>
      </c>
      <c r="L23" s="6" t="s">
        <v>18</v>
      </c>
      <c r="M23" s="6" t="s">
        <v>19</v>
      </c>
      <c r="N23" s="6" t="s">
        <v>197</v>
      </c>
    </row>
    <row r="24" ht="57" customHeight="1" spans="1:14" x14ac:dyDescent="0.25">
      <c r="A24" s="11" t="s">
        <v>321</v>
      </c>
      <c r="B24" s="11" t="s">
        <v>322</v>
      </c>
      <c r="C24" s="11" t="s">
        <v>323</v>
      </c>
      <c r="D24" s="11" t="s">
        <v>324</v>
      </c>
      <c r="E24" s="11" t="s">
        <v>202</v>
      </c>
      <c r="F24" s="11" t="s">
        <v>325</v>
      </c>
      <c r="G24" s="11" t="s">
        <v>326</v>
      </c>
      <c r="H24" s="11" t="s">
        <v>327</v>
      </c>
      <c r="I24" s="13"/>
      <c r="J24" s="13"/>
      <c r="K24" s="11"/>
      <c r="L24" s="13"/>
      <c r="M24" s="13"/>
      <c r="N24" s="13"/>
    </row>
    <row r="25" ht="69.75" customHeight="1" spans="1:14" x14ac:dyDescent="0.25">
      <c r="A25" s="11" t="s">
        <v>328</v>
      </c>
      <c r="B25" s="11" t="s">
        <v>329</v>
      </c>
      <c r="C25" s="11" t="s">
        <v>330</v>
      </c>
      <c r="D25" s="11" t="s">
        <v>201</v>
      </c>
      <c r="E25" s="11" t="s">
        <v>202</v>
      </c>
      <c r="F25" s="11" t="s">
        <v>253</v>
      </c>
      <c r="G25" s="11" t="s">
        <v>204</v>
      </c>
      <c r="H25" s="11" t="s">
        <v>331</v>
      </c>
      <c r="I25" s="13"/>
      <c r="J25" s="13"/>
      <c r="K25" s="11"/>
      <c r="L25" s="13"/>
      <c r="M25" s="13"/>
      <c r="N25" s="13"/>
    </row>
    <row r="26" ht="44.25" customHeight="1" spans="1:14" x14ac:dyDescent="0.25">
      <c r="A26" s="11" t="s">
        <v>332</v>
      </c>
      <c r="B26" s="11" t="s">
        <v>333</v>
      </c>
      <c r="C26" s="11" t="s">
        <v>334</v>
      </c>
      <c r="D26" s="11" t="s">
        <v>201</v>
      </c>
      <c r="E26" s="11" t="s">
        <v>202</v>
      </c>
      <c r="F26" s="11" t="s">
        <v>253</v>
      </c>
      <c r="G26" s="11" t="s">
        <v>204</v>
      </c>
      <c r="H26" s="11" t="s">
        <v>335</v>
      </c>
      <c r="I26" s="13"/>
      <c r="J26" s="13"/>
      <c r="K26" s="11"/>
      <c r="L26" s="13"/>
      <c r="M26" s="13"/>
      <c r="N26" s="13"/>
    </row>
    <row r="27" ht="57" customHeight="1" spans="1:14" x14ac:dyDescent="0.25">
      <c r="A27" s="11" t="s">
        <v>336</v>
      </c>
      <c r="B27" s="11" t="s">
        <v>337</v>
      </c>
      <c r="C27" s="11" t="s">
        <v>338</v>
      </c>
      <c r="D27" s="11" t="s">
        <v>201</v>
      </c>
      <c r="E27" s="11" t="s">
        <v>202</v>
      </c>
      <c r="F27" s="11" t="s">
        <v>339</v>
      </c>
      <c r="G27" s="11" t="s">
        <v>204</v>
      </c>
      <c r="H27" s="11" t="s">
        <v>335</v>
      </c>
      <c r="I27" s="13"/>
      <c r="J27" s="13"/>
      <c r="K27" s="11"/>
      <c r="L27" s="13"/>
      <c r="M27" s="13"/>
      <c r="N27" s="13"/>
    </row>
    <row r="28" ht="69.75" customHeight="1" spans="1:14" x14ac:dyDescent="0.25">
      <c r="A28" s="11" t="s">
        <v>340</v>
      </c>
      <c r="B28" s="11" t="s">
        <v>341</v>
      </c>
      <c r="C28" s="11" t="s">
        <v>342</v>
      </c>
      <c r="D28" s="11" t="s">
        <v>201</v>
      </c>
      <c r="E28" s="11" t="s">
        <v>202</v>
      </c>
      <c r="F28" s="11" t="s">
        <v>214</v>
      </c>
      <c r="G28" s="11" t="s">
        <v>204</v>
      </c>
      <c r="H28" s="11" t="s">
        <v>343</v>
      </c>
      <c r="I28" s="13"/>
      <c r="J28" s="13"/>
      <c r="K28" s="11"/>
      <c r="L28" s="13"/>
      <c r="M28" s="13"/>
      <c r="N28" s="13"/>
    </row>
    <row r="29" ht="69.75" customHeight="1" spans="1:14" x14ac:dyDescent="0.25">
      <c r="A29" s="11" t="s">
        <v>344</v>
      </c>
      <c r="B29" s="11" t="s">
        <v>345</v>
      </c>
      <c r="C29" s="11" t="s">
        <v>346</v>
      </c>
      <c r="D29" s="11" t="s">
        <v>201</v>
      </c>
      <c r="E29" s="11" t="s">
        <v>225</v>
      </c>
      <c r="F29" s="11" t="s">
        <v>347</v>
      </c>
      <c r="G29" s="11" t="s">
        <v>348</v>
      </c>
      <c r="H29" s="11" t="s">
        <v>349</v>
      </c>
      <c r="I29" s="13"/>
      <c r="J29" s="13"/>
      <c r="K29" s="11"/>
      <c r="L29" s="13"/>
      <c r="M29" s="13"/>
      <c r="N29" s="13"/>
    </row>
    <row r="30" ht="69.75" customHeight="1" spans="1:14" x14ac:dyDescent="0.25">
      <c r="A30" s="11" t="s">
        <v>350</v>
      </c>
      <c r="B30" s="11" t="s">
        <v>351</v>
      </c>
      <c r="C30" s="11" t="s">
        <v>352</v>
      </c>
      <c r="D30" s="11" t="s">
        <v>353</v>
      </c>
      <c r="E30" s="11" t="s">
        <v>225</v>
      </c>
      <c r="F30" s="11" t="s">
        <v>354</v>
      </c>
      <c r="G30" s="11" t="s">
        <v>348</v>
      </c>
      <c r="H30" s="11" t="s">
        <v>355</v>
      </c>
      <c r="I30" s="13"/>
      <c r="J30" s="13"/>
      <c r="K30" s="11"/>
      <c r="L30" s="13"/>
      <c r="M30" s="13"/>
      <c r="N30" s="13"/>
    </row>
    <row r="31" ht="82.5" customHeight="1" spans="1:14" x14ac:dyDescent="0.25">
      <c r="A31" s="11" t="s">
        <v>356</v>
      </c>
      <c r="B31" s="11" t="s">
        <v>357</v>
      </c>
      <c r="C31" s="11" t="s">
        <v>358</v>
      </c>
      <c r="D31" s="11" t="s">
        <v>224</v>
      </c>
      <c r="E31" s="11" t="s">
        <v>225</v>
      </c>
      <c r="F31" s="11" t="s">
        <v>226</v>
      </c>
      <c r="G31" s="11" t="s">
        <v>204</v>
      </c>
      <c r="H31" s="11" t="s">
        <v>359</v>
      </c>
      <c r="I31" s="13"/>
      <c r="J31" s="13"/>
      <c r="K31" s="11"/>
      <c r="L31" s="13"/>
      <c r="M31" s="13"/>
      <c r="N31" s="13"/>
    </row>
    <row r="32" ht="82.5" customHeight="1" spans="1:14" x14ac:dyDescent="0.25">
      <c r="A32" s="11" t="s">
        <v>360</v>
      </c>
      <c r="B32" s="11" t="s">
        <v>361</v>
      </c>
      <c r="C32" s="11" t="s">
        <v>362</v>
      </c>
      <c r="D32" s="11" t="s">
        <v>201</v>
      </c>
      <c r="E32" s="11" t="s">
        <v>202</v>
      </c>
      <c r="F32" s="11" t="s">
        <v>214</v>
      </c>
      <c r="G32" s="11" t="s">
        <v>363</v>
      </c>
      <c r="H32" s="11" t="s">
        <v>364</v>
      </c>
      <c r="I32" s="13"/>
      <c r="J32" s="13"/>
      <c r="K32" s="11"/>
      <c r="L32" s="13"/>
      <c r="M32" s="13"/>
      <c r="N32" s="13"/>
    </row>
    <row r="33" ht="69.75" customHeight="1" spans="1:14" x14ac:dyDescent="0.25">
      <c r="A33" s="11" t="s">
        <v>365</v>
      </c>
      <c r="B33" s="11" t="s">
        <v>366</v>
      </c>
      <c r="C33" s="11" t="s">
        <v>367</v>
      </c>
      <c r="D33" s="11" t="s">
        <v>201</v>
      </c>
      <c r="E33" s="11" t="s">
        <v>202</v>
      </c>
      <c r="F33" s="11" t="s">
        <v>209</v>
      </c>
      <c r="G33" s="11" t="s">
        <v>204</v>
      </c>
      <c r="H33" s="11" t="s">
        <v>368</v>
      </c>
      <c r="I33" s="13"/>
      <c r="J33" s="13"/>
      <c r="K33" s="11"/>
      <c r="L33" s="13"/>
      <c r="M33" s="13"/>
      <c r="N33" s="13"/>
    </row>
    <row r="34" ht="82.5" customHeight="1" spans="1:14" x14ac:dyDescent="0.25">
      <c r="A34" s="11" t="s">
        <v>369</v>
      </c>
      <c r="B34" s="11" t="s">
        <v>370</v>
      </c>
      <c r="C34" s="11" t="s">
        <v>371</v>
      </c>
      <c r="D34" s="11" t="s">
        <v>372</v>
      </c>
      <c r="E34" s="11" t="s">
        <v>202</v>
      </c>
      <c r="F34" s="11" t="s">
        <v>373</v>
      </c>
      <c r="G34" s="11" t="s">
        <v>204</v>
      </c>
      <c r="H34" s="11" t="s">
        <v>374</v>
      </c>
      <c r="I34" s="13"/>
      <c r="J34" s="13"/>
      <c r="K34" s="11"/>
      <c r="L34" s="13"/>
      <c r="M34" s="13"/>
      <c r="N34" s="13"/>
    </row>
    <row r="35" ht="57" customHeight="1" spans="1:14" x14ac:dyDescent="0.25">
      <c r="A35" s="11" t="s">
        <v>375</v>
      </c>
      <c r="B35" s="11" t="s">
        <v>376</v>
      </c>
      <c r="C35" s="11" t="s">
        <v>377</v>
      </c>
      <c r="D35" s="11" t="s">
        <v>224</v>
      </c>
      <c r="E35" s="11" t="s">
        <v>202</v>
      </c>
      <c r="F35" s="11" t="s">
        <v>378</v>
      </c>
      <c r="G35" s="11" t="s">
        <v>204</v>
      </c>
      <c r="H35" s="11" t="s">
        <v>379</v>
      </c>
      <c r="I35" s="13"/>
      <c r="J35" s="13"/>
      <c r="K35" s="11"/>
      <c r="L35" s="13"/>
      <c r="M35" s="13"/>
      <c r="N35" s="13"/>
    </row>
    <row r="36" ht="69.75" customHeight="1" spans="1:14" x14ac:dyDescent="0.25">
      <c r="A36" s="11" t="s">
        <v>380</v>
      </c>
      <c r="B36" s="11" t="s">
        <v>381</v>
      </c>
      <c r="C36" s="11" t="s">
        <v>382</v>
      </c>
      <c r="D36" s="11" t="s">
        <v>201</v>
      </c>
      <c r="E36" s="11" t="s">
        <v>202</v>
      </c>
      <c r="F36" s="11" t="s">
        <v>214</v>
      </c>
      <c r="G36" s="11" t="s">
        <v>204</v>
      </c>
      <c r="H36" s="11" t="s">
        <v>383</v>
      </c>
      <c r="I36" s="13"/>
      <c r="J36" s="13"/>
      <c r="K36" s="11"/>
      <c r="L36" s="13"/>
      <c r="M36" s="13"/>
      <c r="N36" s="13"/>
    </row>
    <row r="37" ht="82.5" customHeight="1" spans="1:14" x14ac:dyDescent="0.25">
      <c r="A37" s="11" t="s">
        <v>384</v>
      </c>
      <c r="B37" s="11" t="s">
        <v>385</v>
      </c>
      <c r="C37" s="11" t="s">
        <v>386</v>
      </c>
      <c r="D37" s="11" t="s">
        <v>201</v>
      </c>
      <c r="E37" s="11" t="s">
        <v>202</v>
      </c>
      <c r="F37" s="11" t="s">
        <v>274</v>
      </c>
      <c r="G37" s="11" t="s">
        <v>348</v>
      </c>
      <c r="H37" s="11" t="s">
        <v>387</v>
      </c>
      <c r="I37" s="13"/>
      <c r="J37" s="13"/>
      <c r="K37" s="11"/>
      <c r="L37" s="13"/>
      <c r="M37" s="13"/>
      <c r="N37" s="13"/>
    </row>
    <row r="38" ht="69.75" customHeight="1" spans="1:14" x14ac:dyDescent="0.25">
      <c r="A38" s="11" t="s">
        <v>388</v>
      </c>
      <c r="B38" s="11" t="s">
        <v>389</v>
      </c>
      <c r="C38" s="11" t="s">
        <v>390</v>
      </c>
      <c r="D38" s="11" t="s">
        <v>224</v>
      </c>
      <c r="E38" s="11" t="s">
        <v>225</v>
      </c>
      <c r="F38" s="11" t="s">
        <v>391</v>
      </c>
      <c r="G38" s="11" t="s">
        <v>392</v>
      </c>
      <c r="H38" s="11" t="s">
        <v>393</v>
      </c>
      <c r="I38" s="13"/>
      <c r="J38" s="13"/>
      <c r="K38" s="11"/>
      <c r="L38" s="13"/>
      <c r="M38" s="13"/>
      <c r="N38" s="13"/>
    </row>
    <row r="39" ht="57" customHeight="1" spans="1:14" x14ac:dyDescent="0.25">
      <c r="A39" s="11" t="s">
        <v>394</v>
      </c>
      <c r="B39" s="11" t="s">
        <v>395</v>
      </c>
      <c r="C39" s="11" t="s">
        <v>396</v>
      </c>
      <c r="D39" s="11" t="s">
        <v>201</v>
      </c>
      <c r="E39" s="11" t="s">
        <v>225</v>
      </c>
      <c r="F39" s="11" t="s">
        <v>397</v>
      </c>
      <c r="G39" s="11" t="s">
        <v>204</v>
      </c>
      <c r="H39" s="11" t="s">
        <v>398</v>
      </c>
      <c r="I39" s="13"/>
      <c r="J39" s="13"/>
      <c r="K39" s="11"/>
      <c r="L39" s="13"/>
      <c r="M39" s="13"/>
      <c r="N39" s="13"/>
    </row>
    <row r="40" ht="15.75" customHeight="1" spans="1:1" x14ac:dyDescent="0.25">
      <c r="A40" s="2" t="s">
        <v>276</v>
      </c>
    </row>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6">
    <mergeCell ref="I4:K4"/>
    <mergeCell ref="L4:N4"/>
    <mergeCell ref="A6:H6"/>
    <mergeCell ref="A10:H10"/>
    <mergeCell ref="A14:H14"/>
    <mergeCell ref="A17:H17"/>
  </mergeCells>
  <conditionalFormatting sqref="I6:I19">
    <cfRule type="expression" dxfId="27" priority="1">
      <formula>I6="Done"</formula>
    </cfRule>
  </conditionalFormatting>
  <conditionalFormatting sqref="I6:I19">
    <cfRule type="expression" dxfId="28" priority="2">
      <formula>I6="On track"</formula>
    </cfRule>
  </conditionalFormatting>
  <conditionalFormatting sqref="I6:I19">
    <cfRule type="expression" dxfId="29" priority="3">
      <formula>I6="Met"</formula>
    </cfRule>
  </conditionalFormatting>
  <conditionalFormatting sqref="I6:I19">
    <cfRule type="expression" dxfId="30" priority="4">
      <formula>I6="At risk"</formula>
    </cfRule>
  </conditionalFormatting>
  <conditionalFormatting sqref="I6:I19">
    <cfRule type="expression" dxfId="31" priority="5">
      <formula>I6="Off track"</formula>
    </cfRule>
  </conditionalFormatting>
  <conditionalFormatting sqref="I6:I19">
    <cfRule type="expression" dxfId="32" priority="6">
      <formula>I6="Missed"</formula>
    </cfRule>
  </conditionalFormatting>
  <conditionalFormatting sqref="I6:I19">
    <cfRule type="expression" dxfId="33" priority="7">
      <formula>I6="Not met"</formula>
    </cfRule>
  </conditionalFormatting>
  <conditionalFormatting sqref="I24:I39">
    <cfRule type="expression" dxfId="34" priority="8">
      <formula>I24="Done"</formula>
    </cfRule>
  </conditionalFormatting>
  <conditionalFormatting sqref="I24:I39">
    <cfRule type="expression" dxfId="35" priority="9">
      <formula>I24="On track"</formula>
    </cfRule>
  </conditionalFormatting>
  <conditionalFormatting sqref="I24:I39">
    <cfRule type="expression" dxfId="36" priority="10">
      <formula>I24="Met"</formula>
    </cfRule>
  </conditionalFormatting>
  <conditionalFormatting sqref="I24:I39">
    <cfRule type="expression" dxfId="37" priority="11">
      <formula>I24="At risk"</formula>
    </cfRule>
  </conditionalFormatting>
  <conditionalFormatting sqref="I24:I39">
    <cfRule type="expression" dxfId="38" priority="12">
      <formula>I24="Off track"</formula>
    </cfRule>
  </conditionalFormatting>
  <conditionalFormatting sqref="I24:I39">
    <cfRule type="expression" dxfId="39" priority="13">
      <formula>I24="Missed"</formula>
    </cfRule>
  </conditionalFormatting>
  <conditionalFormatting sqref="I24:I39">
    <cfRule type="expression" dxfId="40" priority="14">
      <formula>I24="Not met"</formula>
    </cfRule>
  </conditionalFormatting>
  <conditionalFormatting sqref="L6:N19">
    <cfRule type="expression" dxfId="41" priority="15">
      <formula>AND(ISNUMBER(L6),L6&gt;=0.7)</formula>
    </cfRule>
  </conditionalFormatting>
  <conditionalFormatting sqref="L6:N19">
    <cfRule type="expression" dxfId="42" priority="16">
      <formula>AND(ISNUMBER(L6),L6&gt;=0.4,L6&lt;0.7)</formula>
    </cfRule>
  </conditionalFormatting>
  <conditionalFormatting sqref="L6:N19">
    <cfRule type="expression" dxfId="43" priority="17">
      <formula>AND(ISNUMBER(L6),L6&lt;0.4)</formula>
    </cfRule>
  </conditionalFormatting>
  <dataValidations count="5">
    <dataValidation type="list" allowBlank="1" sqref="I10:I19">
      <formula1>"Not started,On track,At risk,Off track,Done,Missed"</formula1>
    </dataValidation>
    <dataValidation type="list" allowBlank="1" sqref="I24:I39">
      <formula1>"Met,Not met,N/A"</formula1>
    </dataValidation>
    <dataValidation type="list" allowBlank="1" sqref="I6:I19">
      <formula1>"Not started,On track,At risk,Off track,Done,Missed"</formula1>
    </dataValidation>
    <dataValidation type="decimal" allowBlank="1" sqref="L10:N19">
      <formula1>0</formula1>
      <formula2>1</formula2>
    </dataValidation>
    <dataValidation type="decimal" allowBlank="1" sqref="L6:N19">
      <formula1>0</formula1>
      <formula2>1</formula2>
    </dataValidation>
  </dataValidations>
  <hyperlinks>
    <hyperlink ref="K18" r:id="rId1"/>
  </hyperlinks>
  <pageMargins left="0.75" right="0.75" top="1" bottom="1" header="0" footer="0"/>
  <pageSetup orientation="landscape" horizontalDpi="4294967295" verticalDpi="4294967295" scale="100" fitToWidth="1" fitToHeight="1" firstPageNumber="1" useFirstPageNumber="1" copies="1"/>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14239"/>
  </sheetPr>
  <dimension ref="A1:N1000"/>
  <sheetViews>
    <sheetView workbookViewId="0" showGridLines="0" zoomScale="100" zoomScaleNormal="100">
      <pane xSplit="2" ySplit="5" topLeftCell="C6" activePane="bottomRight" state="frozen"/>
      <selection pane="bottomRight" activeCell="C6" sqref="C6"/>
    </sheetView>
  </sheetViews>
  <sheetFormatPr defaultRowHeight="15" outlineLevelRow="0" outlineLevelCol="0" x14ac:dyDescent="0" defaultColWidth="14.43"/>
  <cols>
    <col min="1" max="1" width="11" customWidth="1"/>
    <col min="2" max="2" width="58" customWidth="1"/>
    <col min="3" max="3" width="20" customWidth="1"/>
    <col min="4" max="4" width="62" customWidth="1"/>
    <col min="5" max="5" width="20" customWidth="1"/>
    <col min="6" max="6" width="18" customWidth="1"/>
    <col min="7" max="9" width="12" customWidth="1"/>
    <col min="10" max="10" width="18" customWidth="1"/>
    <col min="11" max="11" width="44" customWidth="1"/>
    <col min="14" max="14" width="11" customWidth="1"/>
    <col min="15" max="26" width="8.86" customWidth="1"/>
  </cols>
  <sheetData>
    <row r="1" ht="18" customHeight="1" spans="1:1" x14ac:dyDescent="0.25">
      <c r="A1" s="1" t="s">
        <v>399</v>
      </c>
    </row>
    <row r="2" spans="1:1" x14ac:dyDescent="0.25">
      <c r="A2" s="2" t="s">
        <v>400</v>
      </c>
    </row>
    <row r="3" spans="1:1" x14ac:dyDescent="0.25">
      <c r="A3" s="2" t="s">
        <v>401</v>
      </c>
    </row>
    <row r="4" spans="9:14" x14ac:dyDescent="0.25">
      <c r="I4" s="3" t="s">
        <v>3</v>
      </c>
      <c r="J4" s="4"/>
      <c r="K4" s="5"/>
      <c r="L4" s="3" t="s">
        <v>4</v>
      </c>
      <c r="M4" s="4"/>
      <c r="N4" s="5"/>
    </row>
    <row r="5" ht="27.75" customHeight="1" spans="1:14" x14ac:dyDescent="0.25">
      <c r="A5" s="6" t="s">
        <v>5</v>
      </c>
      <c r="B5" s="6" t="s">
        <v>6</v>
      </c>
      <c r="C5" s="6" t="s">
        <v>7</v>
      </c>
      <c r="D5" s="6" t="s">
        <v>13</v>
      </c>
      <c r="E5" s="6" t="s">
        <v>137</v>
      </c>
      <c r="F5" s="6" t="s">
        <v>138</v>
      </c>
      <c r="G5" s="6" t="s">
        <v>11</v>
      </c>
      <c r="H5" s="6" t="s">
        <v>12</v>
      </c>
      <c r="I5" s="6" t="s">
        <v>15</v>
      </c>
      <c r="J5" s="6" t="s">
        <v>16</v>
      </c>
      <c r="K5" s="6" t="s">
        <v>17</v>
      </c>
      <c r="L5" s="6" t="s">
        <v>18</v>
      </c>
      <c r="M5" s="6" t="s">
        <v>19</v>
      </c>
      <c r="N5" s="6" t="s">
        <v>20</v>
      </c>
    </row>
    <row r="6" spans="1:14" x14ac:dyDescent="0.25">
      <c r="A6" s="7" t="s">
        <v>402</v>
      </c>
      <c r="B6" s="8"/>
      <c r="C6" s="8"/>
      <c r="D6" s="8"/>
      <c r="E6" s="8"/>
      <c r="F6" s="8"/>
      <c r="G6" s="8"/>
      <c r="H6" s="8"/>
      <c r="I6" s="9"/>
      <c r="J6" s="9"/>
      <c r="K6" s="9"/>
      <c r="L6" s="10">
        <f t="shared" ref="L6:N6" si="0">IFERROR(ROUND(AVERAGE(L7:L9),2),"")</f>
      </c>
      <c r="M6" s="10">
        <f t="shared" si="0"/>
      </c>
      <c r="N6" s="10">
        <f t="shared" si="0"/>
      </c>
    </row>
    <row r="7" ht="108" customHeight="1" spans="1:14" x14ac:dyDescent="0.25">
      <c r="A7" s="11" t="s">
        <v>403</v>
      </c>
      <c r="B7" s="11" t="s">
        <v>404</v>
      </c>
      <c r="C7" s="11" t="s">
        <v>38</v>
      </c>
      <c r="D7" s="11" t="s">
        <v>405</v>
      </c>
      <c r="E7" s="11" t="s">
        <v>406</v>
      </c>
      <c r="F7" s="11" t="s">
        <v>62</v>
      </c>
      <c r="G7" s="12">
        <v>46296</v>
      </c>
      <c r="H7" s="12">
        <v>46387</v>
      </c>
      <c r="I7" s="13"/>
      <c r="J7" s="11"/>
      <c r="K7" s="11"/>
      <c r="L7" s="14"/>
      <c r="M7" s="14"/>
      <c r="N7" s="14"/>
    </row>
    <row r="8" ht="69.75" customHeight="1" spans="1:14" x14ac:dyDescent="0.25">
      <c r="A8" s="11" t="s">
        <v>407</v>
      </c>
      <c r="B8" s="11" t="s">
        <v>408</v>
      </c>
      <c r="C8" s="11" t="s">
        <v>409</v>
      </c>
      <c r="D8" s="11" t="s">
        <v>410</v>
      </c>
      <c r="E8" s="11" t="s">
        <v>406</v>
      </c>
      <c r="F8" s="11" t="s">
        <v>411</v>
      </c>
      <c r="G8" s="12">
        <v>46296</v>
      </c>
      <c r="H8" s="12">
        <v>46387</v>
      </c>
      <c r="I8" s="13"/>
      <c r="J8" s="11"/>
      <c r="K8" s="11"/>
      <c r="L8" s="14"/>
      <c r="M8" s="14"/>
      <c r="N8" s="14"/>
    </row>
    <row r="9" ht="69.75" customHeight="1" spans="1:14" x14ac:dyDescent="0.25">
      <c r="A9" s="11" t="s">
        <v>412</v>
      </c>
      <c r="B9" s="11" t="s">
        <v>413</v>
      </c>
      <c r="C9" s="11" t="s">
        <v>409</v>
      </c>
      <c r="D9" s="11" t="s">
        <v>414</v>
      </c>
      <c r="E9" s="11" t="s">
        <v>406</v>
      </c>
      <c r="F9" s="11" t="s">
        <v>415</v>
      </c>
      <c r="G9" s="12">
        <v>46296</v>
      </c>
      <c r="H9" s="12">
        <v>46346</v>
      </c>
      <c r="I9" s="13"/>
      <c r="J9" s="11"/>
      <c r="K9" s="11"/>
      <c r="L9" s="14"/>
      <c r="M9" s="14"/>
      <c r="N9" s="14"/>
    </row>
    <row r="10" spans="1:14" x14ac:dyDescent="0.25">
      <c r="A10" s="7" t="s">
        <v>416</v>
      </c>
      <c r="B10" s="8"/>
      <c r="C10" s="8"/>
      <c r="D10" s="8"/>
      <c r="E10" s="8"/>
      <c r="F10" s="8"/>
      <c r="G10" s="8"/>
      <c r="H10" s="8"/>
      <c r="I10" s="9"/>
      <c r="J10" s="9"/>
      <c r="K10" s="9"/>
      <c r="L10" s="10">
        <f t="shared" ref="L10:N10" si="1">IFERROR(ROUND(AVERAGE(L11:L14),2),"")</f>
      </c>
      <c r="M10" s="10">
        <f t="shared" si="1"/>
      </c>
      <c r="N10" s="10">
        <f t="shared" si="1"/>
      </c>
    </row>
    <row r="11" ht="108" customHeight="1" spans="1:14" x14ac:dyDescent="0.25">
      <c r="A11" s="11" t="s">
        <v>417</v>
      </c>
      <c r="B11" s="11" t="s">
        <v>418</v>
      </c>
      <c r="C11" s="11" t="s">
        <v>38</v>
      </c>
      <c r="D11" s="11" t="s">
        <v>419</v>
      </c>
      <c r="E11" s="11" t="s">
        <v>406</v>
      </c>
      <c r="F11" s="11" t="s">
        <v>108</v>
      </c>
      <c r="G11" s="12">
        <v>46296</v>
      </c>
      <c r="H11" s="12">
        <v>46387</v>
      </c>
      <c r="I11" s="13"/>
      <c r="J11" s="11"/>
      <c r="K11" s="11"/>
      <c r="L11" s="14"/>
      <c r="M11" s="14"/>
      <c r="N11" s="14"/>
    </row>
    <row r="12" ht="69.75" customHeight="1" spans="1:14" x14ac:dyDescent="0.25">
      <c r="A12" s="11" t="s">
        <v>420</v>
      </c>
      <c r="B12" s="11" t="s">
        <v>421</v>
      </c>
      <c r="C12" s="11" t="s">
        <v>50</v>
      </c>
      <c r="D12" s="11" t="s">
        <v>422</v>
      </c>
      <c r="E12" s="11" t="s">
        <v>406</v>
      </c>
      <c r="F12" s="11" t="s">
        <v>423</v>
      </c>
      <c r="G12" s="12">
        <v>46296</v>
      </c>
      <c r="H12" s="12">
        <v>46397</v>
      </c>
      <c r="I12" s="13"/>
      <c r="J12" s="11"/>
      <c r="K12" s="11"/>
      <c r="L12" s="14"/>
      <c r="M12" s="14"/>
      <c r="N12" s="14"/>
    </row>
    <row r="13" ht="95.25" customHeight="1" spans="1:14" x14ac:dyDescent="0.25">
      <c r="A13" s="11" t="s">
        <v>424</v>
      </c>
      <c r="B13" s="11" t="s">
        <v>425</v>
      </c>
      <c r="C13" s="11" t="s">
        <v>38</v>
      </c>
      <c r="D13" s="11" t="s">
        <v>426</v>
      </c>
      <c r="E13" s="11" t="s">
        <v>406</v>
      </c>
      <c r="F13" s="11" t="s">
        <v>427</v>
      </c>
      <c r="G13" s="12">
        <v>46296</v>
      </c>
      <c r="H13" s="12">
        <v>46387</v>
      </c>
      <c r="I13" s="13"/>
      <c r="J13" s="11"/>
      <c r="K13" s="11"/>
      <c r="L13" s="14"/>
      <c r="M13" s="14"/>
      <c r="N13" s="14"/>
    </row>
    <row r="14" ht="82.5" customHeight="1" spans="1:14" x14ac:dyDescent="0.25">
      <c r="A14" s="11" t="s">
        <v>428</v>
      </c>
      <c r="B14" s="11" t="s">
        <v>429</v>
      </c>
      <c r="C14" s="11" t="s">
        <v>38</v>
      </c>
      <c r="D14" s="11" t="s">
        <v>430</v>
      </c>
      <c r="E14" s="11" t="s">
        <v>406</v>
      </c>
      <c r="F14" s="11" t="s">
        <v>108</v>
      </c>
      <c r="G14" s="12">
        <v>46296</v>
      </c>
      <c r="H14" s="12">
        <v>46387</v>
      </c>
      <c r="I14" s="13"/>
      <c r="J14" s="11"/>
      <c r="K14" s="11"/>
      <c r="L14" s="14"/>
      <c r="M14" s="14"/>
      <c r="N14" s="14"/>
    </row>
    <row r="15" spans="1:14" x14ac:dyDescent="0.25">
      <c r="A15" s="7" t="s">
        <v>431</v>
      </c>
      <c r="B15" s="8"/>
      <c r="C15" s="8"/>
      <c r="D15" s="8"/>
      <c r="E15" s="8"/>
      <c r="F15" s="8"/>
      <c r="G15" s="8"/>
      <c r="H15" s="8"/>
      <c r="I15" s="9"/>
      <c r="J15" s="9"/>
      <c r="K15" s="9"/>
      <c r="L15" s="10">
        <f t="shared" ref="L15:N15" si="2">IFERROR(ROUND(AVERAGE(L16:L17),2),"")</f>
      </c>
      <c r="M15" s="10">
        <f t="shared" si="2"/>
      </c>
      <c r="N15" s="10">
        <f t="shared" si="2"/>
      </c>
    </row>
    <row r="16" ht="69.75" customHeight="1" spans="1:14" x14ac:dyDescent="0.25">
      <c r="A16" s="11" t="s">
        <v>432</v>
      </c>
      <c r="B16" s="11" t="s">
        <v>433</v>
      </c>
      <c r="C16" s="11" t="s">
        <v>318</v>
      </c>
      <c r="D16" s="11" t="s">
        <v>434</v>
      </c>
      <c r="E16" s="11" t="s">
        <v>406</v>
      </c>
      <c r="F16" s="11" t="s">
        <v>96</v>
      </c>
      <c r="G16" s="12">
        <v>46296</v>
      </c>
      <c r="H16" s="12">
        <v>46387</v>
      </c>
      <c r="I16" s="13"/>
      <c r="J16" s="11"/>
      <c r="K16" s="11"/>
      <c r="L16" s="14"/>
      <c r="M16" s="14"/>
      <c r="N16" s="14"/>
    </row>
    <row r="17" ht="82.5" customHeight="1" spans="1:14" x14ac:dyDescent="0.25">
      <c r="A17" s="11" t="s">
        <v>435</v>
      </c>
      <c r="B17" s="11" t="s">
        <v>436</v>
      </c>
      <c r="C17" s="11" t="s">
        <v>318</v>
      </c>
      <c r="D17" s="11" t="s">
        <v>437</v>
      </c>
      <c r="E17" s="11" t="s">
        <v>438</v>
      </c>
      <c r="F17" s="11" t="s">
        <v>75</v>
      </c>
      <c r="G17" s="12">
        <v>46296</v>
      </c>
      <c r="H17" s="12">
        <v>46387</v>
      </c>
      <c r="I17" s="13"/>
      <c r="J17" s="11"/>
      <c r="K17" s="11"/>
      <c r="L17" s="14"/>
      <c r="M17" s="14"/>
      <c r="N17" s="14"/>
    </row>
    <row r="19" ht="15.75" customHeight="1" spans="1:1" x14ac:dyDescent="0.25">
      <c r="A19" s="19" t="s">
        <v>185</v>
      </c>
    </row>
    <row r="20" spans="1:1" x14ac:dyDescent="0.25">
      <c r="A20" s="2" t="s">
        <v>186</v>
      </c>
    </row>
    <row r="21" ht="15.75" customHeight="1" spans="1:14" x14ac:dyDescent="0.25">
      <c r="A21" s="6" t="s">
        <v>187</v>
      </c>
      <c r="B21" s="6" t="s">
        <v>188</v>
      </c>
      <c r="C21" s="6" t="s">
        <v>189</v>
      </c>
      <c r="D21" s="6" t="s">
        <v>190</v>
      </c>
      <c r="E21" s="6" t="s">
        <v>191</v>
      </c>
      <c r="F21" s="6" t="s">
        <v>192</v>
      </c>
      <c r="G21" s="6" t="s">
        <v>193</v>
      </c>
      <c r="H21" s="6" t="s">
        <v>194</v>
      </c>
      <c r="I21" s="6" t="s">
        <v>195</v>
      </c>
      <c r="J21" s="6" t="s">
        <v>16</v>
      </c>
      <c r="K21" s="6" t="s">
        <v>196</v>
      </c>
      <c r="L21" s="6" t="s">
        <v>18</v>
      </c>
      <c r="M21" s="6" t="s">
        <v>19</v>
      </c>
      <c r="N21" s="6" t="s">
        <v>197</v>
      </c>
    </row>
    <row r="22" ht="82.5" customHeight="1" spans="1:14" x14ac:dyDescent="0.25">
      <c r="A22" s="11" t="s">
        <v>439</v>
      </c>
      <c r="B22" s="11" t="s">
        <v>440</v>
      </c>
      <c r="C22" s="11" t="s">
        <v>441</v>
      </c>
      <c r="D22" s="11" t="s">
        <v>442</v>
      </c>
      <c r="E22" s="11" t="s">
        <v>202</v>
      </c>
      <c r="F22" s="11" t="s">
        <v>443</v>
      </c>
      <c r="G22" s="11" t="s">
        <v>204</v>
      </c>
      <c r="H22" s="11" t="s">
        <v>444</v>
      </c>
      <c r="I22" s="13"/>
      <c r="J22" s="13"/>
      <c r="K22" s="11"/>
      <c r="L22" s="13"/>
      <c r="M22" s="13"/>
      <c r="N22" s="13"/>
    </row>
    <row r="23" ht="57" customHeight="1" spans="1:14" x14ac:dyDescent="0.25">
      <c r="A23" s="11" t="s">
        <v>445</v>
      </c>
      <c r="B23" s="11" t="s">
        <v>446</v>
      </c>
      <c r="C23" s="11" t="s">
        <v>447</v>
      </c>
      <c r="D23" s="11" t="s">
        <v>201</v>
      </c>
      <c r="E23" s="11" t="s">
        <v>202</v>
      </c>
      <c r="F23" s="11" t="s">
        <v>209</v>
      </c>
      <c r="G23" s="11" t="s">
        <v>204</v>
      </c>
      <c r="H23" s="11" t="s">
        <v>448</v>
      </c>
      <c r="I23" s="13"/>
      <c r="J23" s="13"/>
      <c r="K23" s="11"/>
      <c r="L23" s="13"/>
      <c r="M23" s="13"/>
      <c r="N23" s="13"/>
    </row>
    <row r="24" ht="69.75" customHeight="1" spans="1:14" x14ac:dyDescent="0.25">
      <c r="A24" s="11" t="s">
        <v>449</v>
      </c>
      <c r="B24" s="11" t="s">
        <v>450</v>
      </c>
      <c r="C24" s="11" t="s">
        <v>451</v>
      </c>
      <c r="D24" s="11" t="s">
        <v>201</v>
      </c>
      <c r="E24" s="11" t="s">
        <v>202</v>
      </c>
      <c r="F24" s="11" t="s">
        <v>253</v>
      </c>
      <c r="G24" s="11" t="s">
        <v>204</v>
      </c>
      <c r="H24" s="11" t="s">
        <v>452</v>
      </c>
      <c r="I24" s="13"/>
      <c r="J24" s="13"/>
      <c r="K24" s="11"/>
      <c r="L24" s="13"/>
      <c r="M24" s="13"/>
      <c r="N24" s="13"/>
    </row>
    <row r="25" ht="69.75" customHeight="1" spans="1:14" x14ac:dyDescent="0.25">
      <c r="A25" s="11" t="s">
        <v>453</v>
      </c>
      <c r="B25" s="11" t="s">
        <v>454</v>
      </c>
      <c r="C25" s="11" t="s">
        <v>455</v>
      </c>
      <c r="D25" s="11" t="s">
        <v>201</v>
      </c>
      <c r="E25" s="11" t="s">
        <v>202</v>
      </c>
      <c r="F25" s="11" t="s">
        <v>209</v>
      </c>
      <c r="G25" s="11" t="s">
        <v>456</v>
      </c>
      <c r="H25" s="11" t="s">
        <v>457</v>
      </c>
      <c r="I25" s="13"/>
      <c r="J25" s="13"/>
      <c r="K25" s="11"/>
      <c r="L25" s="13"/>
      <c r="M25" s="13"/>
      <c r="N25" s="13"/>
    </row>
    <row r="26" ht="44.25" customHeight="1" spans="1:14" x14ac:dyDescent="0.25">
      <c r="A26" s="11" t="s">
        <v>458</v>
      </c>
      <c r="B26" s="11" t="s">
        <v>459</v>
      </c>
      <c r="C26" s="11" t="s">
        <v>460</v>
      </c>
      <c r="D26" s="11" t="s">
        <v>201</v>
      </c>
      <c r="E26" s="11" t="s">
        <v>202</v>
      </c>
      <c r="F26" s="11" t="s">
        <v>253</v>
      </c>
      <c r="G26" s="11" t="s">
        <v>204</v>
      </c>
      <c r="H26" s="11" t="s">
        <v>461</v>
      </c>
      <c r="I26" s="13"/>
      <c r="J26" s="13"/>
      <c r="K26" s="11"/>
      <c r="L26" s="13"/>
      <c r="M26" s="13"/>
      <c r="N26" s="13"/>
    </row>
    <row r="27" ht="69.75" customHeight="1" spans="1:14" x14ac:dyDescent="0.25">
      <c r="A27" s="11" t="s">
        <v>462</v>
      </c>
      <c r="B27" s="11" t="s">
        <v>463</v>
      </c>
      <c r="C27" s="11" t="s">
        <v>464</v>
      </c>
      <c r="D27" s="11" t="s">
        <v>201</v>
      </c>
      <c r="E27" s="11" t="s">
        <v>202</v>
      </c>
      <c r="F27" s="11" t="s">
        <v>214</v>
      </c>
      <c r="G27" s="11" t="s">
        <v>204</v>
      </c>
      <c r="H27" s="11" t="s">
        <v>465</v>
      </c>
      <c r="I27" s="13"/>
      <c r="J27" s="13"/>
      <c r="K27" s="11"/>
      <c r="L27" s="13"/>
      <c r="M27" s="13"/>
      <c r="N27" s="13"/>
    </row>
    <row r="28" ht="57" customHeight="1" spans="1:14" x14ac:dyDescent="0.25">
      <c r="A28" s="11" t="s">
        <v>466</v>
      </c>
      <c r="B28" s="11" t="s">
        <v>467</v>
      </c>
      <c r="C28" s="11" t="s">
        <v>468</v>
      </c>
      <c r="D28" s="11" t="s">
        <v>201</v>
      </c>
      <c r="E28" s="11" t="s">
        <v>202</v>
      </c>
      <c r="F28" s="11" t="s">
        <v>214</v>
      </c>
      <c r="G28" s="11" t="s">
        <v>204</v>
      </c>
      <c r="H28" s="11" t="s">
        <v>469</v>
      </c>
      <c r="I28" s="13"/>
      <c r="J28" s="13"/>
      <c r="K28" s="11"/>
      <c r="L28" s="13"/>
      <c r="M28" s="13"/>
      <c r="N28" s="13"/>
    </row>
    <row r="29" ht="57" customHeight="1" spans="1:14" x14ac:dyDescent="0.25">
      <c r="A29" s="11" t="s">
        <v>470</v>
      </c>
      <c r="B29" s="11" t="s">
        <v>471</v>
      </c>
      <c r="C29" s="11" t="s">
        <v>472</v>
      </c>
      <c r="D29" s="11" t="s">
        <v>224</v>
      </c>
      <c r="E29" s="11" t="s">
        <v>225</v>
      </c>
      <c r="F29" s="11" t="s">
        <v>226</v>
      </c>
      <c r="G29" s="11" t="s">
        <v>392</v>
      </c>
      <c r="H29" s="11" t="s">
        <v>444</v>
      </c>
      <c r="I29" s="13"/>
      <c r="J29" s="13"/>
      <c r="K29" s="11"/>
      <c r="L29" s="13"/>
      <c r="M29" s="13"/>
      <c r="N29" s="13"/>
    </row>
    <row r="30" ht="15.75" customHeight="1" spans="1:1" x14ac:dyDescent="0.25">
      <c r="A30" s="2" t="s">
        <v>276</v>
      </c>
    </row>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5">
    <mergeCell ref="I4:K4"/>
    <mergeCell ref="L4:N4"/>
    <mergeCell ref="A6:H6"/>
    <mergeCell ref="A10:H10"/>
    <mergeCell ref="A15:H15"/>
  </mergeCells>
  <conditionalFormatting sqref="I6:I17">
    <cfRule type="expression" dxfId="44" priority="1">
      <formula>I6="Done"</formula>
    </cfRule>
  </conditionalFormatting>
  <conditionalFormatting sqref="I6:I17">
    <cfRule type="expression" dxfId="45" priority="2">
      <formula>I6="On track"</formula>
    </cfRule>
  </conditionalFormatting>
  <conditionalFormatting sqref="I6:I17">
    <cfRule type="expression" dxfId="46" priority="3">
      <formula>I6="Met"</formula>
    </cfRule>
  </conditionalFormatting>
  <conditionalFormatting sqref="I6:I17">
    <cfRule type="expression" dxfId="47" priority="4">
      <formula>I6="At risk"</formula>
    </cfRule>
  </conditionalFormatting>
  <conditionalFormatting sqref="I6:I17">
    <cfRule type="expression" dxfId="48" priority="5">
      <formula>I6="Off track"</formula>
    </cfRule>
  </conditionalFormatting>
  <conditionalFormatting sqref="I6:I17">
    <cfRule type="expression" dxfId="49" priority="6">
      <formula>I6="Missed"</formula>
    </cfRule>
  </conditionalFormatting>
  <conditionalFormatting sqref="I6:I17">
    <cfRule type="expression" dxfId="50" priority="7">
      <formula>I6="Not met"</formula>
    </cfRule>
  </conditionalFormatting>
  <conditionalFormatting sqref="I22:I29">
    <cfRule type="expression" dxfId="51" priority="8">
      <formula>I22="Done"</formula>
    </cfRule>
  </conditionalFormatting>
  <conditionalFormatting sqref="I22:I29">
    <cfRule type="expression" dxfId="52" priority="9">
      <formula>I22="On track"</formula>
    </cfRule>
  </conditionalFormatting>
  <conditionalFormatting sqref="I22:I29">
    <cfRule type="expression" dxfId="53" priority="10">
      <formula>I22="Met"</formula>
    </cfRule>
  </conditionalFormatting>
  <conditionalFormatting sqref="I22:I29">
    <cfRule type="expression" dxfId="54" priority="11">
      <formula>I22="At risk"</formula>
    </cfRule>
  </conditionalFormatting>
  <conditionalFormatting sqref="I22:I29">
    <cfRule type="expression" dxfId="55" priority="12">
      <formula>I22="Off track"</formula>
    </cfRule>
  </conditionalFormatting>
  <conditionalFormatting sqref="I22:I29">
    <cfRule type="expression" dxfId="56" priority="13">
      <formula>I22="Missed"</formula>
    </cfRule>
  </conditionalFormatting>
  <conditionalFormatting sqref="I22:I29">
    <cfRule type="expression" dxfId="57" priority="14">
      <formula>I22="Not met"</formula>
    </cfRule>
  </conditionalFormatting>
  <conditionalFormatting sqref="L6:N17">
    <cfRule type="expression" dxfId="58" priority="15">
      <formula>AND(ISNUMBER(L6),L6&gt;=0.7)</formula>
    </cfRule>
  </conditionalFormatting>
  <conditionalFormatting sqref="L6:N17">
    <cfRule type="expression" dxfId="59" priority="16">
      <formula>AND(ISNUMBER(L6),L6&gt;=0.4,L6&lt;0.7)</formula>
    </cfRule>
  </conditionalFormatting>
  <conditionalFormatting sqref="L6:N17">
    <cfRule type="expression" dxfId="60" priority="17">
      <formula>AND(ISNUMBER(L6),L6&lt;0.4)</formula>
    </cfRule>
  </conditionalFormatting>
  <dataValidations count="5">
    <dataValidation type="list" allowBlank="1" sqref="I10:I17">
      <formula1>"Not started,On track,At risk,Off track,Done,Missed"</formula1>
    </dataValidation>
    <dataValidation type="list" allowBlank="1" sqref="I22:I29">
      <formula1>"Met,Not met,N/A"</formula1>
    </dataValidation>
    <dataValidation type="list" allowBlank="1" sqref="I6:I17">
      <formula1>"Not started,On track,At risk,Off track,Done,Missed"</formula1>
    </dataValidation>
    <dataValidation type="decimal" allowBlank="1" sqref="L10:N17">
      <formula1>0</formula1>
      <formula2>1</formula2>
    </dataValidation>
    <dataValidation type="decimal" allowBlank="1" sqref="L6:N17">
      <formula1>0</formula1>
      <formula2>1</formula2>
    </dataValidation>
  </dataValidations>
  <pageMargins left="0.75" right="0.75" top="1" bottom="1" header="0" footer="0"/>
  <pageSetup orientation="landscape"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14239"/>
  </sheetPr>
  <dimension ref="A1:N1000"/>
  <sheetViews>
    <sheetView workbookViewId="0" showGridLines="0" zoomScale="100" zoomScaleNormal="100">
      <pane xSplit="2" ySplit="5" topLeftCell="C6" activePane="bottomRight" state="frozen"/>
      <selection pane="bottomRight" activeCell="C6" sqref="C6"/>
    </sheetView>
  </sheetViews>
  <sheetFormatPr defaultRowHeight="15" outlineLevelRow="0" outlineLevelCol="0" x14ac:dyDescent="0" defaultColWidth="14.43"/>
  <cols>
    <col min="1" max="1" width="11" customWidth="1"/>
    <col min="2" max="2" width="58" customWidth="1"/>
    <col min="3" max="3" width="20" customWidth="1"/>
    <col min="4" max="4" width="62" customWidth="1"/>
    <col min="5" max="5" width="20" customWidth="1"/>
    <col min="6" max="6" width="18" customWidth="1"/>
    <col min="7" max="9" width="12" customWidth="1"/>
    <col min="10" max="10" width="18" customWidth="1"/>
    <col min="11" max="11" width="44" customWidth="1"/>
    <col min="14" max="14" width="11" customWidth="1"/>
    <col min="15" max="26" width="8.86" customWidth="1"/>
  </cols>
  <sheetData>
    <row r="1" ht="18" customHeight="1" spans="1:1" x14ac:dyDescent="0.25">
      <c r="A1" s="1" t="s">
        <v>473</v>
      </c>
    </row>
    <row r="2" spans="1:1" x14ac:dyDescent="0.25">
      <c r="A2" s="2" t="s">
        <v>474</v>
      </c>
    </row>
    <row r="3" spans="1:1" x14ac:dyDescent="0.25">
      <c r="A3" s="2" t="s">
        <v>475</v>
      </c>
    </row>
    <row r="4" spans="9:14" x14ac:dyDescent="0.25">
      <c r="I4" s="3" t="s">
        <v>3</v>
      </c>
      <c r="J4" s="4"/>
      <c r="K4" s="5"/>
      <c r="L4" s="3" t="s">
        <v>4</v>
      </c>
      <c r="M4" s="4"/>
      <c r="N4" s="5"/>
    </row>
    <row r="5" ht="27.75" customHeight="1" spans="1:14" x14ac:dyDescent="0.25">
      <c r="A5" s="6" t="s">
        <v>5</v>
      </c>
      <c r="B5" s="6" t="s">
        <v>6</v>
      </c>
      <c r="C5" s="6" t="s">
        <v>7</v>
      </c>
      <c r="D5" s="6" t="s">
        <v>13</v>
      </c>
      <c r="E5" s="6" t="s">
        <v>137</v>
      </c>
      <c r="F5" s="6" t="s">
        <v>138</v>
      </c>
      <c r="G5" s="6" t="s">
        <v>11</v>
      </c>
      <c r="H5" s="6" t="s">
        <v>12</v>
      </c>
      <c r="I5" s="6" t="s">
        <v>15</v>
      </c>
      <c r="J5" s="6" t="s">
        <v>16</v>
      </c>
      <c r="K5" s="6" t="s">
        <v>17</v>
      </c>
      <c r="L5" s="6" t="s">
        <v>18</v>
      </c>
      <c r="M5" s="6" t="s">
        <v>19</v>
      </c>
      <c r="N5" s="6" t="s">
        <v>20</v>
      </c>
    </row>
    <row r="6" spans="1:14" x14ac:dyDescent="0.25">
      <c r="A6" s="7" t="s">
        <v>476</v>
      </c>
      <c r="B6" s="8"/>
      <c r="C6" s="8"/>
      <c r="D6" s="8"/>
      <c r="E6" s="8"/>
      <c r="F6" s="8"/>
      <c r="G6" s="8"/>
      <c r="H6" s="8"/>
      <c r="I6" s="9"/>
      <c r="J6" s="9"/>
      <c r="K6" s="9"/>
      <c r="L6" s="10">
        <f t="shared" ref="L6:N6" si="0">IFERROR(ROUND(AVERAGE(L7:L9),2),"")</f>
      </c>
      <c r="M6" s="10">
        <f t="shared" si="0"/>
      </c>
      <c r="N6" s="10">
        <f t="shared" si="0"/>
      </c>
    </row>
    <row r="7" ht="95.25" customHeight="1" spans="1:14" x14ac:dyDescent="0.25">
      <c r="A7" s="11" t="s">
        <v>131</v>
      </c>
      <c r="B7" s="11" t="s">
        <v>477</v>
      </c>
      <c r="C7" s="11" t="s">
        <v>478</v>
      </c>
      <c r="D7" s="11" t="s">
        <v>479</v>
      </c>
      <c r="E7" s="11" t="s">
        <v>480</v>
      </c>
      <c r="F7" s="11" t="s">
        <v>127</v>
      </c>
      <c r="G7" s="12">
        <v>46296</v>
      </c>
      <c r="H7" s="12">
        <v>46371</v>
      </c>
      <c r="I7" s="13"/>
      <c r="J7" s="11"/>
      <c r="K7" s="11"/>
      <c r="L7" s="14"/>
      <c r="M7" s="14"/>
      <c r="N7" s="14"/>
    </row>
    <row r="8" ht="57" customHeight="1" spans="1:14" x14ac:dyDescent="0.25">
      <c r="A8" s="11" t="s">
        <v>124</v>
      </c>
      <c r="B8" s="11" t="s">
        <v>481</v>
      </c>
      <c r="C8" s="11" t="s">
        <v>482</v>
      </c>
      <c r="D8" s="11" t="s">
        <v>483</v>
      </c>
      <c r="E8" s="11" t="s">
        <v>480</v>
      </c>
      <c r="F8" s="11" t="s">
        <v>121</v>
      </c>
      <c r="G8" s="12">
        <v>46296</v>
      </c>
      <c r="H8" s="12">
        <v>46387</v>
      </c>
      <c r="I8" s="13"/>
      <c r="J8" s="11"/>
      <c r="K8" s="11"/>
      <c r="L8" s="14"/>
      <c r="M8" s="14"/>
      <c r="N8" s="14"/>
    </row>
    <row r="9" ht="44.25" customHeight="1" spans="1:14" x14ac:dyDescent="0.25">
      <c r="A9" s="11" t="s">
        <v>484</v>
      </c>
      <c r="B9" s="11" t="s">
        <v>485</v>
      </c>
      <c r="C9" s="11" t="s">
        <v>486</v>
      </c>
      <c r="D9" s="11" t="s">
        <v>487</v>
      </c>
      <c r="E9" s="11" t="s">
        <v>480</v>
      </c>
      <c r="F9" s="11" t="s">
        <v>488</v>
      </c>
      <c r="G9" s="12">
        <v>46296</v>
      </c>
      <c r="H9" s="12">
        <v>46326</v>
      </c>
      <c r="I9" s="13"/>
      <c r="J9" s="11"/>
      <c r="K9" s="11"/>
      <c r="L9" s="14"/>
      <c r="M9" s="14"/>
      <c r="N9" s="14"/>
    </row>
    <row r="10" spans="1:14" x14ac:dyDescent="0.25">
      <c r="A10" s="7" t="s">
        <v>489</v>
      </c>
      <c r="B10" s="8"/>
      <c r="C10" s="8"/>
      <c r="D10" s="8"/>
      <c r="E10" s="8"/>
      <c r="F10" s="8"/>
      <c r="G10" s="8"/>
      <c r="H10" s="8"/>
      <c r="I10" s="9"/>
      <c r="J10" s="9"/>
      <c r="K10" s="9"/>
      <c r="L10" s="10">
        <f t="shared" ref="L10:N10" si="1">IFERROR(ROUND(AVERAGE(L11:L13),2),"")</f>
      </c>
      <c r="M10" s="10">
        <f t="shared" si="1"/>
      </c>
      <c r="N10" s="10">
        <f t="shared" si="1"/>
      </c>
    </row>
    <row r="11" ht="95.25" customHeight="1" spans="1:14" x14ac:dyDescent="0.25">
      <c r="A11" s="11" t="s">
        <v>490</v>
      </c>
      <c r="B11" s="11" t="s">
        <v>491</v>
      </c>
      <c r="C11" s="11" t="s">
        <v>492</v>
      </c>
      <c r="D11" s="11" t="s">
        <v>493</v>
      </c>
      <c r="E11" s="11" t="s">
        <v>480</v>
      </c>
      <c r="F11" s="11" t="s">
        <v>488</v>
      </c>
      <c r="G11" s="12">
        <v>46296</v>
      </c>
      <c r="H11" s="12">
        <v>46387</v>
      </c>
      <c r="I11" s="13"/>
      <c r="J11" s="11"/>
      <c r="K11" s="11"/>
      <c r="L11" s="14"/>
      <c r="M11" s="14"/>
      <c r="N11" s="14"/>
    </row>
    <row r="12" ht="44.25" customHeight="1" spans="1:14" x14ac:dyDescent="0.25">
      <c r="A12" s="11" t="s">
        <v>494</v>
      </c>
      <c r="B12" s="11" t="s">
        <v>495</v>
      </c>
      <c r="C12" s="11" t="s">
        <v>486</v>
      </c>
      <c r="D12" s="11" t="s">
        <v>496</v>
      </c>
      <c r="E12" s="11" t="s">
        <v>480</v>
      </c>
      <c r="F12" s="11" t="s">
        <v>48</v>
      </c>
      <c r="G12" s="12">
        <v>46296</v>
      </c>
      <c r="H12" s="12">
        <v>46336</v>
      </c>
      <c r="I12" s="13"/>
      <c r="J12" s="11"/>
      <c r="K12" s="11"/>
      <c r="L12" s="14"/>
      <c r="M12" s="14"/>
      <c r="N12" s="14"/>
    </row>
    <row r="13" ht="69.75" customHeight="1" spans="1:14" x14ac:dyDescent="0.25">
      <c r="A13" s="11" t="s">
        <v>497</v>
      </c>
      <c r="B13" s="11" t="s">
        <v>498</v>
      </c>
      <c r="C13" s="11" t="s">
        <v>486</v>
      </c>
      <c r="D13" s="11" t="s">
        <v>499</v>
      </c>
      <c r="E13" s="11" t="s">
        <v>480</v>
      </c>
      <c r="F13" s="11" t="s">
        <v>488</v>
      </c>
      <c r="G13" s="12">
        <v>46296</v>
      </c>
      <c r="H13" s="12">
        <v>46326</v>
      </c>
      <c r="I13" s="13"/>
      <c r="J13" s="11"/>
      <c r="K13" s="11"/>
      <c r="L13" s="14"/>
      <c r="M13" s="14"/>
      <c r="N13" s="14"/>
    </row>
    <row r="15" ht="15.75" customHeight="1" spans="1:1" x14ac:dyDescent="0.25">
      <c r="A15" s="19" t="s">
        <v>185</v>
      </c>
    </row>
    <row r="16" spans="1:1" x14ac:dyDescent="0.25">
      <c r="A16" s="2" t="s">
        <v>186</v>
      </c>
    </row>
    <row r="17" spans="1:14" x14ac:dyDescent="0.25">
      <c r="A17" s="6" t="s">
        <v>187</v>
      </c>
      <c r="B17" s="6" t="s">
        <v>188</v>
      </c>
      <c r="C17" s="6" t="s">
        <v>189</v>
      </c>
      <c r="D17" s="6" t="s">
        <v>190</v>
      </c>
      <c r="E17" s="6" t="s">
        <v>191</v>
      </c>
      <c r="F17" s="6" t="s">
        <v>192</v>
      </c>
      <c r="G17" s="6" t="s">
        <v>193</v>
      </c>
      <c r="H17" s="6" t="s">
        <v>194</v>
      </c>
      <c r="I17" s="6" t="s">
        <v>195</v>
      </c>
      <c r="J17" s="6" t="s">
        <v>16</v>
      </c>
      <c r="K17" s="6" t="s">
        <v>196</v>
      </c>
      <c r="L17" s="6" t="s">
        <v>18</v>
      </c>
      <c r="M17" s="6" t="s">
        <v>19</v>
      </c>
      <c r="N17" s="6" t="s">
        <v>197</v>
      </c>
    </row>
    <row r="18" ht="57" customHeight="1" spans="1:14" x14ac:dyDescent="0.25">
      <c r="A18" s="11" t="s">
        <v>500</v>
      </c>
      <c r="B18" s="11" t="s">
        <v>501</v>
      </c>
      <c r="C18" s="11" t="s">
        <v>502</v>
      </c>
      <c r="D18" s="11" t="s">
        <v>201</v>
      </c>
      <c r="E18" s="11" t="s">
        <v>202</v>
      </c>
      <c r="F18" s="11" t="s">
        <v>214</v>
      </c>
      <c r="G18" s="11" t="s">
        <v>503</v>
      </c>
      <c r="H18" s="11" t="s">
        <v>504</v>
      </c>
      <c r="I18" s="13"/>
      <c r="J18" s="13"/>
      <c r="K18" s="11"/>
      <c r="L18" s="13"/>
      <c r="M18" s="13"/>
      <c r="N18" s="13"/>
    </row>
    <row r="19" ht="57" customHeight="1" spans="1:14" x14ac:dyDescent="0.25">
      <c r="A19" s="11" t="s">
        <v>505</v>
      </c>
      <c r="B19" s="11" t="s">
        <v>506</v>
      </c>
      <c r="C19" s="11" t="s">
        <v>507</v>
      </c>
      <c r="D19" s="11" t="s">
        <v>201</v>
      </c>
      <c r="E19" s="11" t="s">
        <v>202</v>
      </c>
      <c r="F19" s="11" t="s">
        <v>214</v>
      </c>
      <c r="G19" s="11" t="s">
        <v>503</v>
      </c>
      <c r="H19" s="11" t="s">
        <v>504</v>
      </c>
      <c r="I19" s="13"/>
      <c r="J19" s="13"/>
      <c r="K19" s="11"/>
      <c r="L19" s="13"/>
      <c r="M19" s="13"/>
      <c r="N19" s="13"/>
    </row>
    <row r="20" ht="57" customHeight="1" spans="1:14" x14ac:dyDescent="0.25">
      <c r="A20" s="11" t="s">
        <v>508</v>
      </c>
      <c r="B20" s="11" t="s">
        <v>509</v>
      </c>
      <c r="C20" s="11" t="s">
        <v>510</v>
      </c>
      <c r="D20" s="11" t="s">
        <v>201</v>
      </c>
      <c r="E20" s="11" t="s">
        <v>202</v>
      </c>
      <c r="F20" s="11" t="s">
        <v>209</v>
      </c>
      <c r="G20" s="11" t="s">
        <v>204</v>
      </c>
      <c r="H20" s="11" t="s">
        <v>511</v>
      </c>
      <c r="I20" s="13"/>
      <c r="J20" s="13"/>
      <c r="K20" s="11"/>
      <c r="L20" s="13"/>
      <c r="M20" s="13"/>
      <c r="N20" s="13"/>
    </row>
    <row r="21" ht="57" customHeight="1" spans="1:14" x14ac:dyDescent="0.25">
      <c r="A21" s="11" t="s">
        <v>512</v>
      </c>
      <c r="B21" s="11" t="s">
        <v>513</v>
      </c>
      <c r="C21" s="11" t="s">
        <v>514</v>
      </c>
      <c r="D21" s="11" t="s">
        <v>201</v>
      </c>
      <c r="E21" s="11" t="s">
        <v>202</v>
      </c>
      <c r="F21" s="11" t="s">
        <v>214</v>
      </c>
      <c r="G21" s="11" t="s">
        <v>515</v>
      </c>
      <c r="H21" s="11" t="s">
        <v>516</v>
      </c>
      <c r="I21" s="13"/>
      <c r="J21" s="13"/>
      <c r="K21" s="11"/>
      <c r="L21" s="13"/>
      <c r="M21" s="13"/>
      <c r="N21" s="13"/>
    </row>
    <row r="22" ht="57" customHeight="1" spans="1:14" x14ac:dyDescent="0.25">
      <c r="A22" s="11" t="s">
        <v>517</v>
      </c>
      <c r="B22" s="11" t="s">
        <v>518</v>
      </c>
      <c r="C22" s="11" t="s">
        <v>519</v>
      </c>
      <c r="D22" s="11" t="s">
        <v>224</v>
      </c>
      <c r="E22" s="11" t="s">
        <v>225</v>
      </c>
      <c r="F22" s="11" t="s">
        <v>226</v>
      </c>
      <c r="G22" s="11" t="s">
        <v>204</v>
      </c>
      <c r="H22" s="11" t="s">
        <v>520</v>
      </c>
      <c r="I22" s="13"/>
      <c r="J22" s="13"/>
      <c r="K22" s="11"/>
      <c r="L22" s="13"/>
      <c r="M22" s="13"/>
      <c r="N22" s="13"/>
    </row>
    <row r="23" ht="69.75" customHeight="1" spans="1:14" x14ac:dyDescent="0.25">
      <c r="A23" s="11" t="s">
        <v>521</v>
      </c>
      <c r="B23" s="11" t="s">
        <v>522</v>
      </c>
      <c r="C23" s="11" t="s">
        <v>523</v>
      </c>
      <c r="D23" s="11" t="s">
        <v>201</v>
      </c>
      <c r="E23" s="11" t="s">
        <v>202</v>
      </c>
      <c r="F23" s="11" t="s">
        <v>214</v>
      </c>
      <c r="G23" s="11" t="s">
        <v>204</v>
      </c>
      <c r="H23" s="11" t="s">
        <v>524</v>
      </c>
      <c r="I23" s="13"/>
      <c r="J23" s="13"/>
      <c r="K23" s="11"/>
      <c r="L23" s="13"/>
      <c r="M23" s="13"/>
      <c r="N23" s="13"/>
    </row>
    <row r="24" ht="15.75" customHeight="1" spans="1:1" x14ac:dyDescent="0.25">
      <c r="A24" s="2" t="s">
        <v>276</v>
      </c>
    </row>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4">
    <mergeCell ref="I4:K4"/>
    <mergeCell ref="L4:N4"/>
    <mergeCell ref="A6:H6"/>
    <mergeCell ref="A10:H10"/>
  </mergeCells>
  <conditionalFormatting sqref="I6:I13">
    <cfRule type="expression" dxfId="61" priority="1">
      <formula>I6="Done"</formula>
    </cfRule>
  </conditionalFormatting>
  <conditionalFormatting sqref="I6:I13">
    <cfRule type="expression" dxfId="62" priority="2">
      <formula>I6="On track"</formula>
    </cfRule>
  </conditionalFormatting>
  <conditionalFormatting sqref="I6:I13">
    <cfRule type="expression" dxfId="63" priority="3">
      <formula>I6="Met"</formula>
    </cfRule>
  </conditionalFormatting>
  <conditionalFormatting sqref="I6:I13">
    <cfRule type="expression" dxfId="64" priority="4">
      <formula>I6="At risk"</formula>
    </cfRule>
  </conditionalFormatting>
  <conditionalFormatting sqref="I6:I13">
    <cfRule type="expression" dxfId="65" priority="5">
      <formula>I6="Off track"</formula>
    </cfRule>
  </conditionalFormatting>
  <conditionalFormatting sqref="I6:I13">
    <cfRule type="expression" dxfId="66" priority="6">
      <formula>I6="Missed"</formula>
    </cfRule>
  </conditionalFormatting>
  <conditionalFormatting sqref="I6:I13">
    <cfRule type="expression" dxfId="67" priority="7">
      <formula>I6="Not met"</formula>
    </cfRule>
  </conditionalFormatting>
  <conditionalFormatting sqref="I18:I23">
    <cfRule type="expression" dxfId="68" priority="8">
      <formula>I18="Done"</formula>
    </cfRule>
  </conditionalFormatting>
  <conditionalFormatting sqref="I18:I23">
    <cfRule type="expression" dxfId="69" priority="9">
      <formula>I18="On track"</formula>
    </cfRule>
  </conditionalFormatting>
  <conditionalFormatting sqref="I18:I23">
    <cfRule type="expression" dxfId="70" priority="10">
      <formula>I18="Met"</formula>
    </cfRule>
  </conditionalFormatting>
  <conditionalFormatting sqref="I18:I23">
    <cfRule type="expression" dxfId="71" priority="11">
      <formula>I18="At risk"</formula>
    </cfRule>
  </conditionalFormatting>
  <conditionalFormatting sqref="I18:I23">
    <cfRule type="expression" dxfId="72" priority="12">
      <formula>I18="Off track"</formula>
    </cfRule>
  </conditionalFormatting>
  <conditionalFormatting sqref="I18:I23">
    <cfRule type="expression" dxfId="73" priority="13">
      <formula>I18="Missed"</formula>
    </cfRule>
  </conditionalFormatting>
  <conditionalFormatting sqref="I18:I23">
    <cfRule type="expression" dxfId="74" priority="14">
      <formula>I18="Not met"</formula>
    </cfRule>
  </conditionalFormatting>
  <conditionalFormatting sqref="L6:N13">
    <cfRule type="expression" dxfId="75" priority="15">
      <formula>AND(ISNUMBER(L6),L6&gt;=0.7)</formula>
    </cfRule>
  </conditionalFormatting>
  <conditionalFormatting sqref="L6:N13">
    <cfRule type="expression" dxfId="76" priority="16">
      <formula>AND(ISNUMBER(L6),L6&gt;=0.4,L6&lt;0.7)</formula>
    </cfRule>
  </conditionalFormatting>
  <conditionalFormatting sqref="L6:N13">
    <cfRule type="expression" dxfId="77" priority="17">
      <formula>AND(ISNUMBER(L6),L6&lt;0.4)</formula>
    </cfRule>
  </conditionalFormatting>
  <dataValidations count="5">
    <dataValidation type="list" allowBlank="1" sqref="I10:I13">
      <formula1>"Not started,On track,At risk,Off track,Done,Missed"</formula1>
    </dataValidation>
    <dataValidation type="list" allowBlank="1" sqref="I18:I23">
      <formula1>"Met,Not met,N/A"</formula1>
    </dataValidation>
    <dataValidation type="list" allowBlank="1" sqref="I6:I13">
      <formula1>"Not started,On track,At risk,Off track,Done,Missed"</formula1>
    </dataValidation>
    <dataValidation type="decimal" allowBlank="1" sqref="L10:N13">
      <formula1>0</formula1>
      <formula2>1</formula2>
    </dataValidation>
    <dataValidation type="decimal" allowBlank="1" sqref="L6:N13">
      <formula1>0</formula1>
      <formula2>1</formula2>
    </dataValidation>
  </dataValidations>
  <pageMargins left="0.75" right="0.75" top="1" bottom="1" header="0" footer="0"/>
  <pageSetup orientation="landscape" horizontalDpi="4294967295" verticalDpi="4294967295"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14239"/>
  </sheetPr>
  <dimension ref="A1:D1000"/>
  <sheetViews>
    <sheetView workbookViewId="0" showGridLines="0" zoomScale="100" zoomScaleNormal="100"/>
  </sheetViews>
  <sheetFormatPr defaultRowHeight="15" outlineLevelRow="0" outlineLevelCol="0" x14ac:dyDescent="0" defaultColWidth="14.43"/>
  <cols>
    <col min="1" max="1" width="20" customWidth="1"/>
    <col min="2" max="2" width="42" customWidth="1"/>
    <col min="3" max="3" width="48" customWidth="1"/>
    <col min="4" max="4" width="52" customWidth="1"/>
    <col min="5" max="26" width="8.71" customWidth="1"/>
  </cols>
  <sheetData>
    <row r="1" ht="18" customHeight="1" spans="1:1" x14ac:dyDescent="0.25">
      <c r="A1" s="21" t="s">
        <v>525</v>
      </c>
    </row>
    <row r="2" spans="1:1" x14ac:dyDescent="0.25">
      <c r="A2" s="22" t="s">
        <v>1</v>
      </c>
    </row>
    <row r="4" spans="1:4" x14ac:dyDescent="0.25">
      <c r="A4" s="6" t="s">
        <v>526</v>
      </c>
      <c r="B4" s="6" t="s">
        <v>527</v>
      </c>
      <c r="C4" s="6" t="s">
        <v>528</v>
      </c>
      <c r="D4" s="6" t="s">
        <v>529</v>
      </c>
    </row>
    <row r="5" ht="27.75" customHeight="1" spans="1:4" x14ac:dyDescent="0.25">
      <c r="A5" s="23" t="s">
        <v>530</v>
      </c>
      <c r="B5" s="11" t="s">
        <v>531</v>
      </c>
      <c r="C5" s="11" t="s">
        <v>532</v>
      </c>
      <c r="D5" s="11" t="s">
        <v>533</v>
      </c>
    </row>
    <row r="6" spans="1:4" x14ac:dyDescent="0.25">
      <c r="A6" s="23" t="s">
        <v>534</v>
      </c>
      <c r="B6" s="11" t="s">
        <v>535</v>
      </c>
      <c r="C6" s="11" t="s">
        <v>536</v>
      </c>
      <c r="D6" s="11" t="s">
        <v>537</v>
      </c>
    </row>
    <row r="7" ht="27.75" customHeight="1" spans="1:4" x14ac:dyDescent="0.25">
      <c r="A7" s="23" t="s">
        <v>538</v>
      </c>
      <c r="B7" s="11" t="s">
        <v>539</v>
      </c>
      <c r="C7" s="11" t="s">
        <v>540</v>
      </c>
      <c r="D7" s="11" t="s">
        <v>541</v>
      </c>
    </row>
    <row r="8" ht="27.75" customHeight="1" spans="1:4" x14ac:dyDescent="0.25">
      <c r="A8" s="23" t="s">
        <v>542</v>
      </c>
      <c r="B8" s="11" t="s">
        <v>543</v>
      </c>
      <c r="C8" s="11" t="s">
        <v>544</v>
      </c>
      <c r="D8" s="11" t="s">
        <v>545</v>
      </c>
    </row>
    <row r="9" ht="27.75" customHeight="1" spans="1:4" x14ac:dyDescent="0.25">
      <c r="A9" s="23" t="s">
        <v>546</v>
      </c>
      <c r="B9" s="11" t="s">
        <v>547</v>
      </c>
      <c r="C9" s="11" t="s">
        <v>548</v>
      </c>
      <c r="D9" s="11" t="s">
        <v>549</v>
      </c>
    </row>
    <row r="10" ht="27.75" customHeight="1" spans="1:4" x14ac:dyDescent="0.25">
      <c r="A10" s="23" t="s">
        <v>550</v>
      </c>
      <c r="B10" s="11" t="s">
        <v>551</v>
      </c>
      <c r="C10" s="11" t="s">
        <v>552</v>
      </c>
      <c r="D10" s="11" t="s">
        <v>553</v>
      </c>
    </row>
    <row r="11" ht="55.5" customHeight="1" spans="1:4" x14ac:dyDescent="0.25">
      <c r="A11" s="23" t="s">
        <v>554</v>
      </c>
      <c r="B11" s="11" t="s">
        <v>555</v>
      </c>
      <c r="C11" s="11" t="s">
        <v>556</v>
      </c>
      <c r="D11" s="11" t="s">
        <v>557</v>
      </c>
    </row>
    <row r="12" ht="27.75" customHeight="1" spans="1:4" x14ac:dyDescent="0.25">
      <c r="A12" s="23" t="s">
        <v>558</v>
      </c>
      <c r="B12" s="11" t="s">
        <v>559</v>
      </c>
      <c r="C12" s="11" t="s">
        <v>560</v>
      </c>
      <c r="D12" s="11" t="s">
        <v>561</v>
      </c>
    </row>
    <row r="13" ht="27.75" customHeight="1" spans="1:4" x14ac:dyDescent="0.25">
      <c r="A13" s="23" t="s">
        <v>562</v>
      </c>
      <c r="B13" s="11" t="s">
        <v>563</v>
      </c>
      <c r="C13" s="11" t="s">
        <v>564</v>
      </c>
      <c r="D13" s="11" t="s">
        <v>565</v>
      </c>
    </row>
    <row r="14" ht="42" customHeight="1" spans="1:4" x14ac:dyDescent="0.25">
      <c r="A14" s="23" t="s">
        <v>566</v>
      </c>
      <c r="B14" s="11" t="s">
        <v>567</v>
      </c>
      <c r="C14" s="11" t="s">
        <v>568</v>
      </c>
      <c r="D14" s="11" t="s">
        <v>569</v>
      </c>
    </row>
    <row r="15" ht="27.75" customHeight="1" spans="1:4" x14ac:dyDescent="0.25">
      <c r="A15" s="23" t="s">
        <v>570</v>
      </c>
      <c r="B15" s="11" t="s">
        <v>571</v>
      </c>
      <c r="C15" s="11" t="s">
        <v>572</v>
      </c>
      <c r="D15" s="11" t="s">
        <v>573</v>
      </c>
    </row>
    <row r="16" ht="42" customHeight="1" spans="1:4" x14ac:dyDescent="0.25">
      <c r="A16" s="23" t="s">
        <v>574</v>
      </c>
      <c r="B16" s="11" t="s">
        <v>575</v>
      </c>
      <c r="C16" s="11" t="s">
        <v>576</v>
      </c>
      <c r="D16" s="11" t="s">
        <v>577</v>
      </c>
    </row>
    <row r="17" ht="27.75" customHeight="1" spans="1:4" x14ac:dyDescent="0.25">
      <c r="A17" s="23" t="s">
        <v>578</v>
      </c>
      <c r="B17" s="11" t="s">
        <v>579</v>
      </c>
      <c r="C17" s="11" t="s">
        <v>580</v>
      </c>
      <c r="D17" s="11" t="s">
        <v>581</v>
      </c>
    </row>
    <row r="18" ht="27.75" customHeight="1" spans="1:4" x14ac:dyDescent="0.25">
      <c r="A18" s="23" t="s">
        <v>582</v>
      </c>
      <c r="B18" s="11" t="s">
        <v>583</v>
      </c>
      <c r="C18" s="11" t="s">
        <v>584</v>
      </c>
      <c r="D18" s="11" t="s">
        <v>581</v>
      </c>
    </row>
    <row r="19" ht="27.75" customHeight="1" spans="1:4" x14ac:dyDescent="0.25">
      <c r="A19" s="23" t="s">
        <v>585</v>
      </c>
      <c r="B19" s="11" t="s">
        <v>586</v>
      </c>
      <c r="C19" s="11" t="s">
        <v>587</v>
      </c>
      <c r="D19" s="11" t="s">
        <v>588</v>
      </c>
    </row>
    <row r="20" ht="27.75" customHeight="1" spans="1:4" x14ac:dyDescent="0.25">
      <c r="A20" s="23" t="s">
        <v>589</v>
      </c>
      <c r="B20" s="11" t="s">
        <v>590</v>
      </c>
      <c r="C20" s="11" t="s">
        <v>591</v>
      </c>
      <c r="D20" s="11" t="s">
        <v>592</v>
      </c>
    </row>
    <row r="21" ht="42" customHeight="1" spans="1:4" x14ac:dyDescent="0.25">
      <c r="A21" s="23" t="s">
        <v>593</v>
      </c>
      <c r="B21" s="11" t="s">
        <v>594</v>
      </c>
      <c r="C21" s="11" t="s">
        <v>595</v>
      </c>
      <c r="D21" s="11" t="s">
        <v>596</v>
      </c>
    </row>
    <row r="22" ht="27.75" customHeight="1" spans="1:4" x14ac:dyDescent="0.25">
      <c r="A22" s="23" t="s">
        <v>597</v>
      </c>
      <c r="B22" s="11" t="s">
        <v>598</v>
      </c>
      <c r="C22" s="11" t="s">
        <v>599</v>
      </c>
      <c r="D22" s="11" t="s">
        <v>600</v>
      </c>
    </row>
    <row r="23" ht="27.75" customHeight="1" spans="1:4" x14ac:dyDescent="0.25">
      <c r="A23" s="23" t="s">
        <v>601</v>
      </c>
      <c r="B23" s="11" t="s">
        <v>602</v>
      </c>
      <c r="C23" s="11" t="s">
        <v>603</v>
      </c>
      <c r="D23" s="11" t="s">
        <v>596</v>
      </c>
    </row>
    <row r="24" ht="42" customHeight="1" spans="1:4" x14ac:dyDescent="0.25">
      <c r="A24" s="23" t="s">
        <v>604</v>
      </c>
      <c r="B24" s="11" t="s">
        <v>605</v>
      </c>
      <c r="C24" s="11" t="s">
        <v>606</v>
      </c>
      <c r="D24" s="11" t="s">
        <v>596</v>
      </c>
    </row>
    <row r="25" ht="42" customHeight="1" spans="1:4" x14ac:dyDescent="0.25">
      <c r="A25" s="23" t="s">
        <v>607</v>
      </c>
      <c r="B25" s="11" t="s">
        <v>605</v>
      </c>
      <c r="C25" s="11" t="s">
        <v>608</v>
      </c>
      <c r="D25" s="11" t="s">
        <v>596</v>
      </c>
    </row>
    <row r="26" ht="42" customHeight="1" spans="1:4" x14ac:dyDescent="0.25">
      <c r="A26" s="23" t="s">
        <v>609</v>
      </c>
      <c r="B26" s="11" t="s">
        <v>610</v>
      </c>
      <c r="C26" s="11" t="s">
        <v>611</v>
      </c>
      <c r="D26" s="11" t="s">
        <v>596</v>
      </c>
    </row>
    <row r="27" ht="69.75" customHeight="1" spans="1:4" x14ac:dyDescent="0.25">
      <c r="A27" s="23" t="s">
        <v>612</v>
      </c>
      <c r="B27" s="11" t="s">
        <v>613</v>
      </c>
      <c r="C27" s="11" t="s">
        <v>614</v>
      </c>
      <c r="D27" s="11" t="s">
        <v>596</v>
      </c>
    </row>
    <row r="28" ht="27.75" customHeight="1" spans="1:4" x14ac:dyDescent="0.25">
      <c r="A28" s="23" t="s">
        <v>615</v>
      </c>
      <c r="B28" s="11" t="s">
        <v>616</v>
      </c>
      <c r="C28" s="11" t="s">
        <v>617</v>
      </c>
      <c r="D28" s="11" t="s">
        <v>596</v>
      </c>
    </row>
    <row r="29" ht="95.25" customHeight="1" spans="1:4" x14ac:dyDescent="0.25">
      <c r="A29" s="23" t="s">
        <v>618</v>
      </c>
      <c r="B29" s="11" t="s">
        <v>619</v>
      </c>
      <c r="C29" s="11" t="s">
        <v>620</v>
      </c>
      <c r="D29" s="11" t="s">
        <v>621</v>
      </c>
    </row>
    <row r="30" ht="31.5" customHeight="1" spans="1:4" x14ac:dyDescent="0.25">
      <c r="A30" s="23" t="s">
        <v>622</v>
      </c>
      <c r="B30" s="11" t="s">
        <v>623</v>
      </c>
      <c r="C30" s="11" t="s">
        <v>624</v>
      </c>
      <c r="D30" s="11" t="s">
        <v>625</v>
      </c>
    </row>
    <row r="31" ht="44.25" customHeight="1" spans="1:4" x14ac:dyDescent="0.25">
      <c r="A31" s="23" t="s">
        <v>626</v>
      </c>
      <c r="B31" s="11" t="s">
        <v>627</v>
      </c>
      <c r="C31" s="11" t="s">
        <v>628</v>
      </c>
      <c r="D31" s="11" t="s">
        <v>629</v>
      </c>
    </row>
    <row r="32" ht="31.5" customHeight="1" spans="1:4" x14ac:dyDescent="0.25">
      <c r="A32" s="23" t="s">
        <v>630</v>
      </c>
      <c r="B32" s="11" t="s">
        <v>631</v>
      </c>
      <c r="C32" s="11" t="s">
        <v>632</v>
      </c>
      <c r="D32" s="11" t="s">
        <v>633</v>
      </c>
    </row>
    <row r="33" ht="31.5" customHeight="1" spans="1:4" x14ac:dyDescent="0.25">
      <c r="A33" s="23" t="s">
        <v>634</v>
      </c>
      <c r="B33" s="11" t="s">
        <v>635</v>
      </c>
      <c r="C33" s="11" t="s">
        <v>636</v>
      </c>
      <c r="D33" s="11" t="s">
        <v>637</v>
      </c>
    </row>
    <row r="34" ht="44.25" customHeight="1" spans="1:4" x14ac:dyDescent="0.25">
      <c r="A34" s="23" t="s">
        <v>638</v>
      </c>
      <c r="B34" s="11" t="s">
        <v>639</v>
      </c>
      <c r="C34" s="11" t="s">
        <v>640</v>
      </c>
      <c r="D34" s="11" t="s">
        <v>641</v>
      </c>
    </row>
    <row r="35" ht="31.5" customHeight="1" spans="1:4" x14ac:dyDescent="0.25">
      <c r="A35" s="23" t="s">
        <v>642</v>
      </c>
      <c r="B35" s="11" t="s">
        <v>643</v>
      </c>
      <c r="C35" s="11" t="s">
        <v>644</v>
      </c>
      <c r="D35" s="11" t="s">
        <v>645</v>
      </c>
    </row>
    <row r="36" ht="31.5" customHeight="1" spans="1:4" x14ac:dyDescent="0.25">
      <c r="A36" s="23" t="s">
        <v>646</v>
      </c>
      <c r="B36" s="11" t="s">
        <v>647</v>
      </c>
      <c r="C36" s="11" t="s">
        <v>648</v>
      </c>
      <c r="D36" s="11" t="s">
        <v>649</v>
      </c>
    </row>
    <row r="37" ht="44.25" customHeight="1" spans="1:4" x14ac:dyDescent="0.25">
      <c r="A37" s="23" t="s">
        <v>650</v>
      </c>
      <c r="B37" s="11" t="s">
        <v>651</v>
      </c>
      <c r="C37" s="11" t="s">
        <v>652</v>
      </c>
      <c r="D37" s="11" t="s">
        <v>653</v>
      </c>
    </row>
    <row r="38" ht="44.25" customHeight="1" spans="1:4" x14ac:dyDescent="0.25">
      <c r="A38" s="23" t="s">
        <v>654</v>
      </c>
      <c r="B38" s="11" t="s">
        <v>655</v>
      </c>
      <c r="C38" s="11" t="s">
        <v>656</v>
      </c>
      <c r="D38" s="11" t="s">
        <v>657</v>
      </c>
    </row>
    <row r="39" ht="15.75" customHeight="1" x14ac:dyDescent="0.25"/>
    <row r="40" ht="15.75" customHeight="1" spans="1:1" x14ac:dyDescent="0.25">
      <c r="A40" s="19" t="s">
        <v>658</v>
      </c>
    </row>
    <row r="41" ht="15.75" customHeight="1" spans="1:3" x14ac:dyDescent="0.25">
      <c r="A41" s="6" t="s">
        <v>659</v>
      </c>
      <c r="B41" s="6" t="s">
        <v>660</v>
      </c>
      <c r="C41" s="6" t="s">
        <v>661</v>
      </c>
    </row>
    <row r="42" ht="15.75" customHeight="1" spans="1:3" x14ac:dyDescent="0.25">
      <c r="A42" s="11" t="s">
        <v>95</v>
      </c>
      <c r="B42" s="11" t="s">
        <v>388</v>
      </c>
      <c r="C42" s="11" t="s">
        <v>662</v>
      </c>
    </row>
    <row r="43" ht="15.75" customHeight="1" spans="1:3" x14ac:dyDescent="0.25">
      <c r="A43" s="11" t="s">
        <v>294</v>
      </c>
      <c r="B43" s="11" t="s">
        <v>384</v>
      </c>
      <c r="C43" s="11" t="s">
        <v>662</v>
      </c>
    </row>
    <row r="44" ht="15.75" customHeight="1" spans="1:3" x14ac:dyDescent="0.25">
      <c r="A44" s="11" t="s">
        <v>298</v>
      </c>
      <c r="B44" s="11" t="s">
        <v>294</v>
      </c>
      <c r="C44" s="11"/>
    </row>
    <row r="45" ht="15.75" customHeight="1" spans="1:3" x14ac:dyDescent="0.25">
      <c r="A45" s="11" t="s">
        <v>663</v>
      </c>
      <c r="B45" s="11" t="s">
        <v>298</v>
      </c>
      <c r="C45" s="11"/>
    </row>
    <row r="46" ht="15.75" customHeight="1" spans="1:3" x14ac:dyDescent="0.25">
      <c r="A46" s="11" t="s">
        <v>664</v>
      </c>
      <c r="B46" s="11" t="s">
        <v>286</v>
      </c>
      <c r="C46" s="11" t="s">
        <v>665</v>
      </c>
    </row>
    <row r="47" ht="15.75" customHeight="1" spans="1:3" x14ac:dyDescent="0.25">
      <c r="A47" s="11" t="s">
        <v>666</v>
      </c>
      <c r="B47" s="11" t="s">
        <v>55</v>
      </c>
      <c r="C47" s="11" t="s">
        <v>667</v>
      </c>
    </row>
    <row r="48" ht="15.75" customHeight="1" spans="1:3" x14ac:dyDescent="0.25">
      <c r="A48" s="11" t="s">
        <v>68</v>
      </c>
      <c r="B48" s="11" t="s">
        <v>62</v>
      </c>
      <c r="C48" s="11" t="s">
        <v>668</v>
      </c>
    </row>
    <row r="49" ht="15.75" customHeight="1" spans="1:3" x14ac:dyDescent="0.25">
      <c r="A49" s="11" t="s">
        <v>75</v>
      </c>
      <c r="B49" s="11" t="s">
        <v>68</v>
      </c>
      <c r="C49" s="11"/>
    </row>
    <row r="50" ht="15.75" customHeight="1" spans="1:3" x14ac:dyDescent="0.25">
      <c r="A50" s="11" t="s">
        <v>669</v>
      </c>
      <c r="B50" s="11" t="s">
        <v>407</v>
      </c>
      <c r="C50" s="11" t="s">
        <v>670</v>
      </c>
    </row>
    <row r="51" ht="15.75" customHeight="1" spans="1:3" x14ac:dyDescent="0.25">
      <c r="A51" s="11" t="s">
        <v>671</v>
      </c>
      <c r="B51" s="11" t="s">
        <v>75</v>
      </c>
      <c r="C51" s="11"/>
    </row>
    <row r="52" ht="15.75" customHeight="1" spans="1:3" x14ac:dyDescent="0.25">
      <c r="A52" s="11" t="s">
        <v>672</v>
      </c>
      <c r="B52" s="11" t="s">
        <v>312</v>
      </c>
      <c r="C52" s="11" t="s">
        <v>673</v>
      </c>
    </row>
    <row r="53" ht="15.75" customHeight="1" spans="1:3" x14ac:dyDescent="0.25">
      <c r="A53" s="11" t="s">
        <v>674</v>
      </c>
      <c r="B53" s="11" t="s">
        <v>302</v>
      </c>
      <c r="C53" s="11" t="s">
        <v>675</v>
      </c>
    </row>
    <row r="54" ht="15.75" customHeight="1" spans="1:3" x14ac:dyDescent="0.25">
      <c r="A54" s="11" t="s">
        <v>676</v>
      </c>
      <c r="B54" s="11" t="s">
        <v>239</v>
      </c>
      <c r="C54" s="11"/>
    </row>
    <row r="55" ht="15.75" customHeight="1" spans="1:3" x14ac:dyDescent="0.25">
      <c r="A55" s="11" t="s">
        <v>677</v>
      </c>
      <c r="B55" s="11" t="s">
        <v>245</v>
      </c>
      <c r="C55" s="11" t="s">
        <v>678</v>
      </c>
    </row>
    <row r="56" ht="15.75" customHeight="1" spans="1:3" x14ac:dyDescent="0.25">
      <c r="A56" s="11" t="s">
        <v>679</v>
      </c>
      <c r="B56" s="11" t="s">
        <v>171</v>
      </c>
      <c r="C56" s="11"/>
    </row>
    <row r="57" ht="15.75" customHeight="1" spans="1:3" x14ac:dyDescent="0.25">
      <c r="A57" s="11" t="s">
        <v>680</v>
      </c>
      <c r="B57" s="11" t="s">
        <v>245</v>
      </c>
      <c r="C57" s="11" t="s">
        <v>678</v>
      </c>
    </row>
    <row r="58" ht="15.75" customHeight="1" spans="1:3" x14ac:dyDescent="0.25">
      <c r="A58" s="11" t="s">
        <v>681</v>
      </c>
      <c r="B58" s="11" t="s">
        <v>176</v>
      </c>
      <c r="C58" s="11"/>
    </row>
    <row r="59" ht="15.75" customHeight="1" spans="1:3" x14ac:dyDescent="0.25">
      <c r="A59" s="11" t="s">
        <v>682</v>
      </c>
      <c r="B59" s="11" t="s">
        <v>180</v>
      </c>
      <c r="C59" s="11"/>
    </row>
    <row r="60" ht="15.75" customHeight="1" spans="1:3" x14ac:dyDescent="0.25">
      <c r="A60" s="11" t="s">
        <v>683</v>
      </c>
      <c r="B60" s="11" t="s">
        <v>250</v>
      </c>
      <c r="C60" s="11"/>
    </row>
    <row r="61" ht="15.75" customHeight="1" spans="1:3" x14ac:dyDescent="0.25">
      <c r="A61" s="11" t="s">
        <v>684</v>
      </c>
      <c r="B61" s="11" t="s">
        <v>54</v>
      </c>
      <c r="C61" s="11"/>
    </row>
    <row r="62" ht="15.75" customHeight="1" spans="1:3" x14ac:dyDescent="0.25">
      <c r="A62" s="11" t="s">
        <v>685</v>
      </c>
      <c r="B62" s="11" t="s">
        <v>255</v>
      </c>
      <c r="C62" s="11"/>
    </row>
    <row r="63" ht="15.75" customHeight="1" spans="1:3" x14ac:dyDescent="0.25">
      <c r="A63" s="11" t="s">
        <v>686</v>
      </c>
      <c r="B63" s="11" t="s">
        <v>258</v>
      </c>
      <c r="C63" s="11"/>
    </row>
    <row r="64" ht="15.75" customHeight="1" spans="1:3" x14ac:dyDescent="0.25">
      <c r="A64" s="11" t="s">
        <v>687</v>
      </c>
      <c r="B64" s="11" t="s">
        <v>262</v>
      </c>
      <c r="C64" s="11"/>
    </row>
    <row r="65" ht="15.75" customHeight="1" spans="1:3" x14ac:dyDescent="0.25">
      <c r="A65" s="11" t="s">
        <v>688</v>
      </c>
      <c r="B65" s="11" t="s">
        <v>267</v>
      </c>
      <c r="C65" s="11"/>
    </row>
    <row r="66" ht="15.75" customHeight="1" spans="1:3" x14ac:dyDescent="0.25">
      <c r="A66" s="11" t="s">
        <v>124</v>
      </c>
      <c r="B66" s="11" t="s">
        <v>131</v>
      </c>
      <c r="C66" s="11"/>
    </row>
    <row r="67" ht="15.75" customHeight="1" spans="1:3" x14ac:dyDescent="0.25">
      <c r="A67" s="11" t="s">
        <v>689</v>
      </c>
      <c r="B67" s="11" t="s">
        <v>124</v>
      </c>
      <c r="C67" s="11"/>
    </row>
    <row r="68" ht="15.75" customHeight="1" spans="1:3" x14ac:dyDescent="0.25">
      <c r="A68" s="11" t="s">
        <v>690</v>
      </c>
      <c r="B68" s="11" t="s">
        <v>131</v>
      </c>
      <c r="C68" s="11" t="s">
        <v>691</v>
      </c>
    </row>
    <row r="69" ht="15.75" customHeight="1" spans="1:3" x14ac:dyDescent="0.25">
      <c r="A69" s="11" t="s">
        <v>692</v>
      </c>
      <c r="B69" s="11" t="s">
        <v>435</v>
      </c>
      <c r="C69" s="11"/>
    </row>
    <row r="70" ht="15.75" customHeight="1" spans="1:3" x14ac:dyDescent="0.25">
      <c r="A70" s="11" t="s">
        <v>693</v>
      </c>
      <c r="B70" s="11" t="s">
        <v>140</v>
      </c>
      <c r="C70" s="11"/>
    </row>
    <row r="71" ht="15.75" customHeight="1" spans="1:3" x14ac:dyDescent="0.25">
      <c r="A71" s="11" t="s">
        <v>694</v>
      </c>
      <c r="B71" s="11" t="s">
        <v>47</v>
      </c>
      <c r="C71" s="11"/>
    </row>
    <row r="72" ht="15.75" customHeight="1" spans="1:3" x14ac:dyDescent="0.25">
      <c r="A72" s="11" t="s">
        <v>695</v>
      </c>
      <c r="B72" s="11" t="s">
        <v>26</v>
      </c>
      <c r="C72" s="11"/>
    </row>
    <row r="73" ht="15.75" customHeight="1" spans="1:3" x14ac:dyDescent="0.25">
      <c r="A73" s="11" t="s">
        <v>696</v>
      </c>
      <c r="B73" s="11" t="s">
        <v>155</v>
      </c>
      <c r="C73" s="11" t="s">
        <v>697</v>
      </c>
    </row>
    <row r="74" ht="15.75" customHeight="1" spans="1:3" x14ac:dyDescent="0.25">
      <c r="A74" s="11" t="s">
        <v>698</v>
      </c>
      <c r="B74" s="11" t="s">
        <v>155</v>
      </c>
      <c r="C74" s="11" t="s">
        <v>699</v>
      </c>
    </row>
    <row r="75" ht="15.75" customHeight="1" spans="1:3" x14ac:dyDescent="0.25">
      <c r="A75" s="11" t="s">
        <v>700</v>
      </c>
      <c r="B75" s="11" t="s">
        <v>271</v>
      </c>
      <c r="C75" s="11" t="s">
        <v>662</v>
      </c>
    </row>
    <row r="76" ht="15.75" customHeight="1" spans="1:3" x14ac:dyDescent="0.25">
      <c r="A76" s="11" t="s">
        <v>701</v>
      </c>
      <c r="B76" s="11" t="s">
        <v>155</v>
      </c>
      <c r="C76" s="11" t="s">
        <v>699</v>
      </c>
    </row>
    <row r="77" ht="15.75" customHeight="1" spans="1:3" x14ac:dyDescent="0.25">
      <c r="A77" s="11" t="s">
        <v>702</v>
      </c>
      <c r="B77" s="11" t="s">
        <v>155</v>
      </c>
      <c r="C77" s="11" t="s">
        <v>699</v>
      </c>
    </row>
    <row r="78" ht="15.75" customHeight="1" spans="1:3" x14ac:dyDescent="0.25">
      <c r="A78" s="11" t="s">
        <v>703</v>
      </c>
      <c r="B78" s="11" t="s">
        <v>155</v>
      </c>
      <c r="C78" s="11" t="s">
        <v>704</v>
      </c>
    </row>
    <row r="79" ht="15.75" customHeight="1" spans="1:3" x14ac:dyDescent="0.25">
      <c r="A79" s="11" t="s">
        <v>705</v>
      </c>
      <c r="B79" s="11" t="s">
        <v>155</v>
      </c>
      <c r="C79" s="11" t="s">
        <v>699</v>
      </c>
    </row>
    <row r="80" ht="15.75" customHeight="1" spans="1:3" x14ac:dyDescent="0.25">
      <c r="A80" s="11" t="s">
        <v>706</v>
      </c>
      <c r="B80" s="11" t="s">
        <v>155</v>
      </c>
      <c r="C80" s="11" t="s">
        <v>699</v>
      </c>
    </row>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paperSize="9"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Company OKRs</vt:lpstr>
      <vt:lpstr>Technology &amp; Back-office Ops</vt:lpstr>
      <vt:lpstr>Branding &amp; Marketing</vt:lpstr>
      <vt:lpstr>Partnership &amp; Growth</vt:lpstr>
      <vt:lpstr>People &amp; Culture</vt:lpstr>
      <vt:lpstr>Changes vs Revised Draft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Unknown</cp:lastModifiedBy>
  <dcterms:created xsi:type="dcterms:W3CDTF">2026-09-11T15:45:09Z</dcterms:created>
  <dcterms:modified xsi:type="dcterms:W3CDTF">2026-10-22T06:02:09Z</dcterms:modified>
</cp:coreProperties>
</file>