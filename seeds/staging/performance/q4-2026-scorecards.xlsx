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Staff Register" state="visible" r:id="rId4"/>
    <sheet sheetId="4" name="00001 Ifeoma Mbonu" state="visible" r:id="rId5"/>
    <sheet sheetId="5" name="00002 Precious Iyersehen" state="visible" r:id="rId6"/>
    <sheet sheetId="6" name="00003 Oladotun Shola Adido" state="visible" r:id="rId7"/>
    <sheet sheetId="7" name="00005 Tobiloba Dada" state="visible" r:id="rId8"/>
    <sheet sheetId="8" name="00006 Tochukwu Ifeanyi" state="visible" r:id="rId9"/>
    <sheet sheetId="9" name="00009 Emmanuel Aneke" state="visible" r:id="rId10"/>
    <sheet sheetId="10" name="00010 Cynthia Osakunih" state="visible" r:id="rId11"/>
    <sheet sheetId="11" name="00011 John Ojelola" state="visible" r:id="rId12"/>
    <sheet sheetId="12" name="00012 Bassey Ekpe" state="visible" r:id="rId13"/>
    <sheet sheetId="13" name="00013 Aaron Agama" state="visible" r:id="rId14"/>
    <sheet sheetId="14" name="00014 Abubakar Mohammed" state="visible" r:id="rId15"/>
    <sheet sheetId="15" name="00016 Bode Oluwasanmi" state="visible" r:id="rId16"/>
    <sheet sheetId="16" name="00017 Gideon Ekom" state="visible" r:id="rId17"/>
    <sheet sheetId="17" name="00018 Adaeze Chike" state="visible" r:id="rId18"/>
    <sheet sheetId="18" name="00019 Chinyere Elechi" state="visible" r:id="rId19"/>
    <sheet sheetId="19" name="00020 David Idowu-Agida" state="visible" r:id="rId20"/>
  </sheets>
  <calcPr calcId="171027"/>
</workbook>
</file>

<file path=xl/sharedStrings.xml><?xml version="1.0" encoding="utf-8"?>
<sst xmlns="http://schemas.openxmlformats.org/spreadsheetml/2006/main" count="1533" uniqueCount="487">
  <si>
    <t>Staff register and score summary</t>
  </si>
  <si>
    <t>Staff ID</t>
  </si>
  <si>
    <t>Name</t>
  </si>
  <si>
    <t>Designation</t>
  </si>
  <si>
    <t>Team</t>
  </si>
  <si>
    <t>OKR function</t>
  </si>
  <si>
    <t>Reviewer</t>
  </si>
  <si>
    <t>Scope</t>
  </si>
  <si>
    <t>Score to date</t>
  </si>
  <si>
    <t>Rating</t>
  </si>
  <si>
    <t>00001</t>
  </si>
  <si>
    <t>Ifeoma Mbonu</t>
  </si>
  <si>
    <t>Chief Executive Officer</t>
  </si>
  <si>
    <t>General Management</t>
  </si>
  <si>
    <t>Company</t>
  </si>
  <si>
    <t>Board (to be confirmed)</t>
  </si>
  <si>
    <t>Company strategy, reserved decisions, product ownership (interim) and accountability across all functions</t>
  </si>
  <si>
    <t>00002</t>
  </si>
  <si>
    <t>Precious Iyersehen</t>
  </si>
  <si>
    <t>Graphics Designer</t>
  </si>
  <si>
    <t>Marketing</t>
  </si>
  <si>
    <t>Branding &amp; Marketing</t>
  </si>
  <si>
    <t>Chinyere Elechi</t>
  </si>
  <si>
    <t>Creative production for all three apps</t>
  </si>
  <si>
    <t>00003</t>
  </si>
  <si>
    <t>Oladotun Shola Adido</t>
  </si>
  <si>
    <t>Back-end Manager</t>
  </si>
  <si>
    <t>Operations - Lead</t>
  </si>
  <si>
    <t>Operations</t>
  </si>
  <si>
    <t>Content listing in all three apps; customer support</t>
  </si>
  <si>
    <t>00005</t>
  </si>
  <si>
    <t>Tobiloba Dada</t>
  </si>
  <si>
    <t>Content &amp; Listing Associate</t>
  </si>
  <si>
    <t>Operations - MyCityApp - NG &amp; MyLagosApp</t>
  </si>
  <si>
    <t>MyCityApp Nigeria and MyLagosApp content</t>
  </si>
  <si>
    <t>00006</t>
  </si>
  <si>
    <t>Tochukwu Ifeanyi</t>
  </si>
  <si>
    <t>Marketing Lead - Abuja</t>
  </si>
  <si>
    <t>Marketing &amp; Partnership</t>
  </si>
  <si>
    <t>Partnership &amp; Growth</t>
  </si>
  <si>
    <t>Abubakar Mohammed (dotted line: Chinyere Elechi)</t>
  </si>
  <si>
    <t>Abuja market — FCT</t>
  </si>
  <si>
    <t>00009</t>
  </si>
  <si>
    <t>Emmanuel Aneke</t>
  </si>
  <si>
    <t>Marketing &amp; Growth Officer - Rivers</t>
  </si>
  <si>
    <t>Abubakar Mohammed</t>
  </si>
  <si>
    <t>South South — Rivers</t>
  </si>
  <si>
    <t>00010</t>
  </si>
  <si>
    <t>Cynthia Osakunih</t>
  </si>
  <si>
    <t>Operations &amp; People Lead</t>
  </si>
  <si>
    <t>HR &amp; Operations</t>
  </si>
  <si>
    <t>People &amp; Culture</t>
  </si>
  <si>
    <t>Company-wide people processes, performance cycle and commitment register</t>
  </si>
  <si>
    <t>00011</t>
  </si>
  <si>
    <t>John Ojelola</t>
  </si>
  <si>
    <t>Marketing Lead - South West</t>
  </si>
  <si>
    <t>South West — Ibadan and retained accounts</t>
  </si>
  <si>
    <t>00012</t>
  </si>
  <si>
    <t>Bassey Ekpe</t>
  </si>
  <si>
    <t>Operations (Botswana - MyCityApp - Africa)</t>
  </si>
  <si>
    <t>MyCityApp Africa — Botswana content</t>
  </si>
  <si>
    <t>00013</t>
  </si>
  <si>
    <t>Aaron Agama</t>
  </si>
  <si>
    <t>Social Media Manager</t>
  </si>
  <si>
    <t>Social channels and creators for all three apps; send calendar</t>
  </si>
  <si>
    <t>00014</t>
  </si>
  <si>
    <t>Head Strategy, Partnerships &amp; Growth</t>
  </si>
  <si>
    <t>Function leadership; Lagos and national accounts; interim Kano cover</t>
  </si>
  <si>
    <t>00016</t>
  </si>
  <si>
    <t>Bode Oluwasanmi</t>
  </si>
  <si>
    <t>Chief Technology Officer</t>
  </si>
  <si>
    <t>Technology</t>
  </si>
  <si>
    <t>All three apps; MTNN and other delivery vendors</t>
  </si>
  <si>
    <t>00017</t>
  </si>
  <si>
    <t>Gideon Ekom</t>
  </si>
  <si>
    <t>Marketing &amp; Growth Officer - Enugu</t>
  </si>
  <si>
    <t>South East — Enugu</t>
  </si>
  <si>
    <t>00018</t>
  </si>
  <si>
    <t>Adaeze Chike</t>
  </si>
  <si>
    <t>Marketing &amp; Growth Officer - Abia</t>
  </si>
  <si>
    <t>South East — Abia</t>
  </si>
  <si>
    <t>00019</t>
  </si>
  <si>
    <t>Head PR, Marketing &amp; Brand Strategy</t>
  </si>
  <si>
    <t>Marketing - Lead</t>
  </si>
  <si>
    <t>Function leadership; paid campaigns; brand; lifecycle (activation and repeat use) unless the CEO names another lead by 25 Sep</t>
  </si>
  <si>
    <t>00020</t>
  </si>
  <si>
    <t>David Idowu-Agida</t>
  </si>
  <si>
    <t>PR &amp; Marketing Lead - MyLagosApp</t>
  </si>
  <si>
    <t>MyLagosApp / Lagos PR and campaigns</t>
  </si>
  <si>
    <t>Q4 2026 scorecard — Ifeoma Mbonu</t>
  </si>
  <si>
    <t>Period</t>
  </si>
  <si>
    <t>1 Oct – 31 Dec 2026</t>
  </si>
  <si>
    <t>#</t>
  </si>
  <si>
    <t>Section</t>
  </si>
  <si>
    <t>Goal / KPI</t>
  </si>
  <si>
    <t>Target and how it is measured</t>
  </si>
  <si>
    <t>Linked KR / KPI</t>
  </si>
  <si>
    <t>Due / frequency</t>
  </si>
  <si>
    <t>Weight</t>
  </si>
  <si>
    <t>Oct</t>
  </si>
  <si>
    <t>Nov</t>
  </si>
  <si>
    <t>Dec</t>
  </si>
  <si>
    <t>Score (0–1)</t>
  </si>
  <si>
    <t>Weighted</t>
  </si>
  <si>
    <t>Results — 60%</t>
  </si>
  <si>
    <t>Result</t>
  </si>
  <si>
    <t>Make the Q4 decisions that unblock the plan</t>
  </si>
  <si>
    <t>All eleven decisions in the OKR workbook's Read Me recorded with owner and date by 10 Oct (lifecycle lead by 25 Sep; HRIS budget by 31 Oct)</t>
  </si>
  <si>
    <t>Read Me decisions 1–11</t>
  </si>
  <si>
    <t>10 Oct</t>
  </si>
  <si>
    <t>Verified opening baseline signed off</t>
  </si>
  <si>
    <t>One baseline for downloads per app, active users, transactions, ticket value and revenue by stream, Jan–Sep, signed by 31 Oct; all [TBC] targets locked by 7 Nov</t>
  </si>
  <si>
    <t>CO-KR1.1</t>
  </si>
  <si>
    <t>31 Oct</t>
  </si>
  <si>
    <t>Product roadmap approved</t>
  </si>
  <si>
    <t>One roadmap sequencing every Q4 2026–Q3 2027 feature, each with an MTNN month and acceptance owner, approved by 15 Oct</t>
  </si>
  <si>
    <t>CO-KR1.3</t>
  </si>
  <si>
    <t>15 Oct</t>
  </si>
  <si>
    <t>December platform revenue</t>
  </si>
  <si>
    <t>₦16.7m platform revenue earned in December (₦200m annualised run rate)</t>
  </si>
  <si>
    <t>CO-KR5.1</t>
  </si>
  <si>
    <t>31 Dec</t>
  </si>
  <si>
    <t>Function commitments kept</t>
  </si>
  <si>
    <t>Each function delivers ≥80% of its CEO-approved monthly commitments by the original date, in November and in December</t>
  </si>
  <si>
    <t>CO-KR6.1</t>
  </si>
  <si>
    <t>Nov; Dec</t>
  </si>
  <si>
    <t>KPIs — 25%</t>
  </si>
  <si>
    <t>KPI</t>
  </si>
  <si>
    <t>Recovery-decision turnaround rate</t>
  </si>
  <si>
    <t>100% — missed commitments in the month-end report with a recovery decision (owner, date) within 5 business days of the report. Source: commitment register</t>
  </si>
  <si>
    <t>Monthly</t>
  </si>
  <si>
    <t>Company budget variance</t>
  </si>
  <si>
    <t>≤0% — (actual + committed spend − approved budget) ÷ approved budget. Source: finance records</t>
  </si>
  <si>
    <t>—</t>
  </si>
  <si>
    <t>Accountability — 15%</t>
  </si>
  <si>
    <t>Accountability</t>
  </si>
  <si>
    <t>On-time reserved-decision rate</t>
  </si>
  <si>
    <t>≥90% of CEO-reserved decisions in the register made by the agreed date</t>
  </si>
  <si>
    <t>Function-head scorecards and reviews</t>
  </si>
  <si>
    <t>Five function-head scorecards signed by 25 Sep; October and November reviews completed by 15 Dec</t>
  </si>
  <si>
    <t>CO-KR6.2</t>
  </si>
  <si>
    <t>25 Sep; 15 Dec</t>
  </si>
  <si>
    <t>Total weight</t>
  </si>
  <si>
    <t>Agreement — to be signed by 25 September 2026 at the latest</t>
  </si>
  <si>
    <t>Employee: Ifeoma Mbonu   Signature / date: ______________</t>
  </si>
  <si>
    <t>Reviewer: Board   Signature / date: ______________</t>
  </si>
  <si>
    <t>Q4 2026 scorecard — Precious Iyersehen</t>
  </si>
  <si>
    <t>Team result — Marketing</t>
  </si>
  <si>
    <t>Average attainment of the two Marketing outcome KRs: 40,000 users activated from all channels (BM-KR1.3) and ₦20m paid-ticket value through marketing (BM-KR2.1). Same score for every Marketing team member; owned by Chinyere Elechi</t>
  </si>
  <si>
    <t>BM-KR1.3; BM-KR2.1</t>
  </si>
  <si>
    <t>Brand Book visual system</t>
  </si>
  <si>
    <t>Colour, type, logo use and naming lock-ups for the three apps, plus templates for store pages, social and campaigns, submitted for approval by 24 Oct</t>
  </si>
  <si>
    <t>BM-KR3.1</t>
  </si>
  <si>
    <t>24 Oct</t>
  </si>
  <si>
    <t>Festive-season campaign kits</t>
  </si>
  <si>
    <t>Asset kits for December events, stays and LASG payments delivered by 10 Nov (Lagos) and 20 Nov (other markets)</t>
  </si>
  <si>
    <t>BM-KR2.1; BM-KR1.3</t>
  </si>
  <si>
    <t>10 Nov; 20 Nov</t>
  </si>
  <si>
    <t>LASG payment guides</t>
  </si>
  <si>
    <t>One screen-based guide per enabled LASG bill type, ready by LASG go-live (15 Nov)</t>
  </si>
  <si>
    <t>TECH-KR2.1; BM-KR1.3</t>
  </si>
  <si>
    <t>15 Nov</t>
  </si>
  <si>
    <t>On-time creative asset delivery rate</t>
  </si>
  <si>
    <t>≥95% — Campaign assets delivered by the agreed deadline ÷ assets due. Source: Creative request tracker</t>
  </si>
  <si>
    <t>BM-K03</t>
  </si>
  <si>
    <t>Creative first-pass approval rate</t>
  </si>
  <si>
    <t>≥85% — First submissions approved without substantial rework against the brief ÷ first submissions. Source: Creative request tracker</t>
  </si>
  <si>
    <t>BM-K04</t>
  </si>
  <si>
    <t>Brand compliance rate — new assets</t>
  </si>
  <si>
    <t>100% — New published assets passing Brand Book, price, date and claim checks ÷ new assets checked (all paid, sample of organic). Source: Brand review log</t>
  </si>
  <si>
    <t>BM-K09</t>
  </si>
  <si>
    <t>Monthly from 1 Nov</t>
  </si>
  <si>
    <t>On-time commitment delivery rate</t>
  </si>
  <si>
    <t>≥80% of your agreed monthly commitments in the company register delivered by the original date</t>
  </si>
  <si>
    <t>Monthly update on time</t>
  </si>
  <si>
    <t>Target–Actual–Variance–Action update to your reviewer by the 2nd business day of each month</t>
  </si>
  <si>
    <t>PC-K06</t>
  </si>
  <si>
    <t>Employee: Precious Iyersehen   Signature / date: ______________</t>
  </si>
  <si>
    <t>Reviewer: Chinyere Elechi   Signature / date: ______________</t>
  </si>
  <si>
    <t>Q4 2026 scorecard — Oladotun Shola Adido</t>
  </si>
  <si>
    <t>Customer support live and resolving</t>
  </si>
  <si>
    <t>Support live on published channels with a case log by 15 Nov; ≥85% of December cases resolved within 48 hours</t>
  </si>
  <si>
    <t>OP-KR3.1</t>
  </si>
  <si>
    <t>15 Nov; 31 Dec</t>
  </si>
  <si>
    <t>Listing accuracy in every app</t>
  </si>
  <si>
    <t>≥98% of audited live events, stays and business listings pass checks in December, in each of the three apps (October audit is the baseline)</t>
  </si>
  <si>
    <t>OP-KR1.2</t>
  </si>
  <si>
    <t>Supply live within two business days</t>
  </si>
  <si>
    <t>95% of complete, approved submissions published within 2 business days in November and December</t>
  </si>
  <si>
    <t>OP-KR2.1</t>
  </si>
  <si>
    <t>Business profiles published</t>
  </si>
  <si>
    <t>5,000 new owner-verified MyCityApp Nigeria profiles with all required fields published in Q4 (team total)</t>
  </si>
  <si>
    <t>OP-KR2.2</t>
  </si>
  <si>
    <t>Event expiry compliance rate</t>
  </si>
  <si>
    <t>≥98% — One-off events removed from upcoming listings within 24 hours of their end time ÷ events due for removal. Source: Listing audit; admin log</t>
  </si>
  <si>
    <t>OP-K01</t>
  </si>
  <si>
    <t>Monthly, per app</t>
  </si>
  <si>
    <t>Support first-response rate</t>
  </si>
  <si>
    <t>≥90% — Cases receiving a first useful response within 4 business hours ÷ cases received. Source: Support case log</t>
  </si>
  <si>
    <t>OP-K06</t>
  </si>
  <si>
    <t>Monthly from launch</t>
  </si>
  <si>
    <t>Listing correction turnaround rate</t>
  </si>
  <si>
    <t>≥95% — Confirmed listing errors corrected or withdrawn within 1 business day ÷ errors due. Source: Correction log</t>
  </si>
  <si>
    <t>OP-K03</t>
  </si>
  <si>
    <t>Unresolved critical contact errors</t>
  </si>
  <si>
    <t>0 — Confirmed wrong hospital, police or fire-service entries not yet corrected or hidden. Source: Correction log</t>
  </si>
  <si>
    <t>OP-K04</t>
  </si>
  <si>
    <t>Monthly maximum</t>
  </si>
  <si>
    <t>≥80% of your CEO-approved monthly commitments in the company register delivered by the original date</t>
  </si>
  <si>
    <t>Monthly function report on time</t>
  </si>
  <si>
    <t>Target–Actual–Variance–Action report submitted by the 3rd business day of each month</t>
  </si>
  <si>
    <t>Team scorecards and reviews</t>
  </si>
  <si>
    <t>Every direct report has a signed scorecard by 25 Sep; October and November reviews completed by 15 Dec</t>
  </si>
  <si>
    <t>PC-KR1.1; PC-KR1.2</t>
  </si>
  <si>
    <t>Employee: Oladotun Shola Adido   Signature / date: ______________</t>
  </si>
  <si>
    <t>Reviewer: Ifeoma Mbonu   Signature / date: ______________</t>
  </si>
  <si>
    <t>Q4 2026 scorecard — Tobiloba Dada</t>
  </si>
  <si>
    <t>No stale events</t>
  </si>
  <si>
    <t>No expired one-off event shown as upcoming in MyLagosApp or MyCityApp Nigeria at any daily check from 30 Sep to 31 Dec</t>
  </si>
  <si>
    <t>OP-KR1.1</t>
  </si>
  <si>
    <t>Daily to 31 Dec</t>
  </si>
  <si>
    <t>Directly sourced business profiles</t>
  </si>
  <si>
    <t>2,000 owner-verified Lagos business profiles sourced and published by you in Q4 (the other 3,000 come from Partnership &amp; Growth submissions)</t>
  </si>
  <si>
    <t>Nigerian catalogue audit and corrections</t>
  </si>
  <si>
    <t>Audit and correction batches completed on the dates agreed with Oladotun; all hospital, police and fire-service contacts verified by 30 Nov</t>
  </si>
  <si>
    <t>30 Nov</t>
  </si>
  <si>
    <t>December peak publishing</t>
  </si>
  <si>
    <t>Festive-season events and stays published within 1 business day of complete submission, 1–31 Dec</t>
  </si>
  <si>
    <t>December</t>
  </si>
  <si>
    <t>Business profile completeness rate</t>
  </si>
  <si>
    <t>≥95% — Published profiles with all required location, category, service and contact fields ÷ profiles audited. Source: Listing audit</t>
  </si>
  <si>
    <t>OP-K05</t>
  </si>
  <si>
    <t>Employee: Tobiloba Dada   Signature / date: ______________</t>
  </si>
  <si>
    <t>Reviewer: Oladotun Shola Adido   Signature / date: ______________</t>
  </si>
  <si>
    <t>Q4 2026 scorecard — Tochukwu Ifeanyi</t>
  </si>
  <si>
    <t>Abuja ticketed events</t>
  </si>
  <si>
    <t>30 ticketed Abuja events live in Q4 under signed commission terms, 4 of them December events on app-exclusive terms</t>
  </si>
  <si>
    <t>PG-KR1.1</t>
  </si>
  <si>
    <t>Abuja partners for the Q1 launch</t>
  </si>
  <si>
    <t>60 restaurants and 50 hotels/shortlets in Abuja with signed terms (inventory, confirmation duty, fee, exclusive benefit) by 31 Dec</t>
  </si>
  <si>
    <t>PG-KR1.3</t>
  </si>
  <si>
    <t>Ticketing commission — Abuja accounts</t>
  </si>
  <si>
    <t>₦750,000 [TBC] ticketing commission earned in Q4 from events you signed, at the contracted rate net of refunds (account owner on the pipeline record)</t>
  </si>
  <si>
    <t>PG-KR2.3</t>
  </si>
  <si>
    <t>Distribution placements — Abuja</t>
  </si>
  <si>
    <t>6 live placements secured in Abuja (hotel guest messages, event ticket emails, association and conference channels), each with an agreed audience and a tracked link, handed to Marketing within 2 business days</t>
  </si>
  <si>
    <t>PG-KR3.1</t>
  </si>
  <si>
    <t>Abuja business submissions</t>
  </si>
  <si>
    <t>700 owner-confirmed Abuja business submissions accepted by Operations in Q4</t>
  </si>
  <si>
    <t>On-time partner launch rate</t>
  </si>
  <si>
    <t>≥90% — Signed partners and events live on the agreed date ÷ launches due (overdue launches stay in). Source: Pipeline register; publishing queue</t>
  </si>
  <si>
    <t>PG-K02</t>
  </si>
  <si>
    <t>Signed-deal handover rate</t>
  </si>
  <si>
    <t>≥95% — Signed deals accepted by the delivering team within 2 business days of signature ÷ deals signed. Source: Handover log</t>
  </si>
  <si>
    <t>PG-K03</t>
  </si>
  <si>
    <t>Overdue sales follow-ups</t>
  </si>
  <si>
    <t>0 — Qualified opportunities whose agreed next action is more than 5 business days overdue. Source: Pipeline register</t>
  </si>
  <si>
    <t>PG-K08</t>
  </si>
  <si>
    <t>Weekly; monthly maximum</t>
  </si>
  <si>
    <t>Employee: Tochukwu Ifeanyi   Signature / date: ______________</t>
  </si>
  <si>
    <t>Reviewer: Abubakar Mohammed   Signature / date: ______________</t>
  </si>
  <si>
    <t>Q4 2026 scorecard — Emmanuel Aneke</t>
  </si>
  <si>
    <t>Rivers ticketed events</t>
  </si>
  <si>
    <t>15 ticketed Rivers events live in Q4 under signed commission terms, 1 of them a December event on app-exclusive terms</t>
  </si>
  <si>
    <t>Ticketing commission — Rivers accounts</t>
  </si>
  <si>
    <t>₦375,000 [TBC] ticketing commission earned in Q4 from events you signed, at the contracted rate net of refunds (account owner on the pipeline record)</t>
  </si>
  <si>
    <t>Distribution placements — Rivers</t>
  </si>
  <si>
    <t>3 live placements secured in Rivers (hotel guest messages, event ticket emails, association channels), each with an agreed audience and a tracked link, handed to Marketing within 2 business days</t>
  </si>
  <si>
    <t>Rivers business submissions</t>
  </si>
  <si>
    <t>600 owner-confirmed Rivers business submissions accepted by Operations in Q4</t>
  </si>
  <si>
    <t>Employee: Emmanuel Aneke   Signature / date: ______________</t>
  </si>
  <si>
    <t>Q4 2026 scorecard — Cynthia Osakunih</t>
  </si>
  <si>
    <t>Signed scorecards</t>
  </si>
  <si>
    <t>Every employee has a signed Q4 scorecard with their reviewer by 25 Sep</t>
  </si>
  <si>
    <t>PC-KR1.1</t>
  </si>
  <si>
    <t>25 Sep</t>
  </si>
  <si>
    <t>Evidence-based reviews</t>
  </si>
  <si>
    <t>October and November reviews completed for 100% of eligible employees by 15 Dec, scored from actual results</t>
  </si>
  <si>
    <t>PC-KR1.2</t>
  </si>
  <si>
    <t>15 Dec</t>
  </si>
  <si>
    <t>Handbook and priority policies</t>
  </si>
  <si>
    <t>Handbook and five priority policies issued and acknowledged by 100% of employees by 31 Oct</t>
  </si>
  <si>
    <t>PC-KR1.3</t>
  </si>
  <si>
    <t>Company commitment register</t>
  </si>
  <si>
    <t>Register live from October; month-end delivery report to the CEO by the 3rd business day in Nov, Dec and Jan</t>
  </si>
  <si>
    <t>PC-KR1.4</t>
  </si>
  <si>
    <t>HR digitisation, phase 1</t>
  </si>
  <si>
    <t>Leave, employee records and onboarding live in an HRIS by 31 Dec; migrated records reconcile; Excel files for those processes retired</t>
  </si>
  <si>
    <t>PC-KR2.1</t>
  </si>
  <si>
    <t>Customer support staffed</t>
  </si>
  <si>
    <t>Support role design approved by 15 Oct; staff hired or assigned and trained by 10 Nov</t>
  </si>
  <si>
    <t>PC-KR2.2</t>
  </si>
  <si>
    <t>10 Nov</t>
  </si>
  <si>
    <t>Payroll input accuracy rate</t>
  </si>
  <si>
    <t>100% — Payroll records accepted without a P&amp;C-caused correction ÷ records submitted. Source: Payroll processor report</t>
  </si>
  <si>
    <t>PC-K01</t>
  </si>
  <si>
    <t>Each payroll</t>
  </si>
  <si>
    <t>On-time payroll submission rate</t>
  </si>
  <si>
    <t>100% — Payroll submissions accepted before the processor deadline ÷ submissions due. Source: Payroll processor report</t>
  </si>
  <si>
    <t>PC-K02</t>
  </si>
  <si>
    <t>HR request resolution rate</t>
  </si>
  <si>
    <t>≥90% — Leave, record and payroll queries resolved within 2 business days ÷ requests due. Source: HR request log (HRIS from go-live)</t>
  </si>
  <si>
    <t>PC-K03</t>
  </si>
  <si>
    <t>Unauthorised HR-record access incidents</t>
  </si>
  <si>
    <t>0 — Confirmed incidents of HR records viewed, shared or changed without authority. Source: Access log; incident reports</t>
  </si>
  <si>
    <t>PC-K05</t>
  </si>
  <si>
    <t>Employee: Cynthia Osakunih   Signature / date: ______________</t>
  </si>
  <si>
    <t>Q4 2026 scorecard — John Ojelola</t>
  </si>
  <si>
    <t>South West ticketed events</t>
  </si>
  <si>
    <t>25 ticketed South West events live in Q4 under signed commission terms, 1 of them a December event on app-exclusive terms</t>
  </si>
  <si>
    <t>Ticketing commission — South West accounts</t>
  </si>
  <si>
    <t>₦625,000 [TBC] ticketing commission earned in Q4 from events you signed, at the contracted rate net of refunds (account owner on the pipeline record)</t>
  </si>
  <si>
    <t>Distribution placements — South West</t>
  </si>
  <si>
    <t>4 live placements secured in South West (hotel guest messages, event ticket emails, association channels), each with an agreed audience and a tracked link, handed to Marketing within 2 business days</t>
  </si>
  <si>
    <t>South West business submissions</t>
  </si>
  <si>
    <t>700 owner-confirmed South West business submissions accepted by Operations in Q4</t>
  </si>
  <si>
    <t>Employee: John Ojelola   Signature / date: ______________</t>
  </si>
  <si>
    <t>Q4 2026 scorecard — Bassey Ekpe</t>
  </si>
  <si>
    <t>No stale events — MyCityApp Africa</t>
  </si>
  <si>
    <t>No expired one-off event shown as upcoming in MyCityApp Africa at any daily check from 30 Sep to 31 Dec</t>
  </si>
  <si>
    <t>Listing accuracy — MyCityApp Africa</t>
  </si>
  <si>
    <t>≥98% of audited MyCityApp Africa listings pass date, price, location and contact checks in December (October audit is the baseline)</t>
  </si>
  <si>
    <t>Top listings refreshed</t>
  </si>
  <si>
    <t>The 300 most-viewed Botswana business listings re-verified with the business by 30 Nov</t>
  </si>
  <si>
    <t>Employee: Bassey Ekpe   Signature / date: ______________</t>
  </si>
  <si>
    <t>Q4 2026 scorecard — Aaron Agama</t>
  </si>
  <si>
    <t>Festive-season social coverage</t>
  </si>
  <si>
    <t>Each of the 25 December exclusive events and each live stays partner gets at least 2 published posts and 1 creator piece, each with a tracked link to the in-app item, before the event or stay date</t>
  </si>
  <si>
    <t>BM-KR2.1; PG-KR1.1</t>
  </si>
  <si>
    <t>Before each event; 31 Dec</t>
  </si>
  <si>
    <t>Creator programme</t>
  </si>
  <si>
    <t>10 creator collaborations published to brief in Q4 (disclosed as paid where paid), each with a tracked link to an in-app event, stay or service</t>
  </si>
  <si>
    <t>20 Dec</t>
  </si>
  <si>
    <t>Send calendar within the cap</t>
  </si>
  <si>
    <t>From 1 Nov, every promotional push is on the approved send calendar and no user exceeds 3 a week</t>
  </si>
  <si>
    <t>BM-KR1.2</t>
  </si>
  <si>
    <t>Brand Book applied — MyCityApp Nigeria and Africa</t>
  </si>
  <si>
    <t>MyCityApp Nigeria and Africa social profiles and store pages conform to the Brand Book by 15 Dec</t>
  </si>
  <si>
    <t>Content calendar coverage</t>
  </si>
  <si>
    <t>≥28 — Consecutive future days covered by approved content with channel, date and owner. Source: Content calendar</t>
  </si>
  <si>
    <t>BM-K01</t>
  </si>
  <si>
    <t>Weekly check; monthly minimum</t>
  </si>
  <si>
    <t>On-time publication rate</t>
  </si>
  <si>
    <t>≥95% — Scheduled posts published at the agreed time ÷ posts due (approved cancellations shown separately). Source: Content calendar; channel logs</t>
  </si>
  <si>
    <t>BM-K02</t>
  </si>
  <si>
    <t>Social-to-app click-through rate</t>
  </si>
  <si>
    <t>[TBC] — October baseline + 20% — Clicks on tracked app links from organic social posts ÷ reach of those posts (per 1,000). Source: Link shortener or UTM report; platform insights (no app analytics needed)</t>
  </si>
  <si>
    <t>BM-K11</t>
  </si>
  <si>
    <t>Tracked-link coverage rate</t>
  </si>
  <si>
    <t>100% — Posts and placements promoting an in-app item that carry a working tracked link ÷ such posts and placements. Source: Content calendar; link report</t>
  </si>
  <si>
    <t>BM-K13</t>
  </si>
  <si>
    <t>Social enquiry response rate</t>
  </si>
  <si>
    <t>≥90% — Social enquiries answered or routed to the owning team within 1 business day ÷ enquiries received. Source: Social inbox</t>
  </si>
  <si>
    <t>BM-K10</t>
  </si>
  <si>
    <t>Employee: Aaron Agama   Signature / date: ______________</t>
  </si>
  <si>
    <t>Q4 2026 scorecard — Abubakar Mohammed</t>
  </si>
  <si>
    <t>Event portfolio (function)</t>
  </si>
  <si>
    <t>200 ticketed events in Q4 under signed commission terms, 25 of them December exclusives (your direct Lagos and Kano share: 110 events, 17 exclusives)</t>
  </si>
  <si>
    <t>Lagos stays for December</t>
  </si>
  <si>
    <t>150 Lagos hotels and shortlets with signed terms (December inventory, 2-hour confirmation, fee, exclusive benefit) by 20 Nov</t>
  </si>
  <si>
    <t>PG-KR1.2</t>
  </si>
  <si>
    <t>20 Nov</t>
  </si>
  <si>
    <t>Partners for the Q1 launch (function)</t>
  </si>
  <si>
    <t>150 restaurants and 100 hotels/shortlets across Lagos and Abuja signed by 31 Dec (your Lagos share: 90 restaurants, 50 stays)</t>
  </si>
  <si>
    <t>December advertising revenue</t>
  </si>
  <si>
    <t>₦8m [TBC] advertising and brand-partnership revenue earned in December</t>
  </si>
  <si>
    <t>PG-KR2.1</t>
  </si>
  <si>
    <t>Alpha Beta/LASG agreement</t>
  </si>
  <si>
    <t>Agreement signed by 15 Oct, covering bill types, platform fee, settlement and refund responsibilities</t>
  </si>
  <si>
    <t>PG-KR2.2</t>
  </si>
  <si>
    <t>Ticketing commission (function)</t>
  </si>
  <si>
    <t>₦5m [TBC] ticketing commission earned in Q4 from signed events (your direct Lagos and Kano accounts: ₦2.75m)</t>
  </si>
  <si>
    <t>Distribution placements (function)</t>
  </si>
  <si>
    <t>30 [TBC] live distribution placements secured in Q4, each handed to Marketing with audience and tracked link (your direct share: 12)</t>
  </si>
  <si>
    <t>Qualified pipeline coverage ratio</t>
  </si>
  <si>
    <t>≥3.0× — Platform revenue expected in Q4 from qualified open opportunities ÷ remaining Q4 revenue target (excludes ticket value and GMV). Source: Pipeline register</t>
  </si>
  <si>
    <t>PG-K01</t>
  </si>
  <si>
    <t>On-time invoice collection rate</t>
  </si>
  <si>
    <t>≥95% — Cash received by the invoice due date ÷ invoiced amounts due. Source: Finance records</t>
  </si>
  <si>
    <t>PG-K05</t>
  </si>
  <si>
    <t>Commercial approval-limit compliance rate</t>
  </si>
  <si>
    <t>100% — Deals agreed within approved pricing and discount authority ÷ deals agreed. Source: Deal approvals log</t>
  </si>
  <si>
    <t>PG-K07</t>
  </si>
  <si>
    <t>Partner booking confirmation rate</t>
  </si>
  <si>
    <t>≥90% — Stay and restaurant requests confirmed or declined by the partner within 2 hours ÷ requests received. Source: Booking back office</t>
  </si>
  <si>
    <t>PG-K04</t>
  </si>
  <si>
    <t>Weekly in December; monthly</t>
  </si>
  <si>
    <t>Employee: Abubakar Mohammed   Signature / date: ______________</t>
  </si>
  <si>
    <t>Q4 2026 scorecard — Bode Oluwasanmi</t>
  </si>
  <si>
    <t>Analytics live</t>
  </si>
  <si>
    <t>Product analytics tool contracted by 15 Oct; seven journeys instrumented by 15 Nov; November figures reconcile to provider records within 2%</t>
  </si>
  <si>
    <t>TECH-KR1.3</t>
  </si>
  <si>
    <t>15 Oct; 15 Nov; 5 Dec</t>
  </si>
  <si>
    <t>Payment success</t>
  </si>
  <si>
    <t>Bill-payment and LASG-payment success ≥95% in December, no day below 90%</t>
  </si>
  <si>
    <t>TECH-KR1.1</t>
  </si>
  <si>
    <t>Ticket purchase success</t>
  </si>
  <si>
    <t>≥97% of valid ticket purchases in December produce a valid ticket; zero duplicate charges and zero oversold events</t>
  </si>
  <si>
    <t>TECH-KR1.2</t>
  </si>
  <si>
    <t>LASG payments live</t>
  </si>
  <si>
    <t>LASG payments live in MyLagosApp by 15 Nov, with receipts, refunds and settlement records</t>
  </si>
  <si>
    <t>TECH-KR2.1</t>
  </si>
  <si>
    <t>Assisted stay booking live</t>
  </si>
  <si>
    <t>Hotel and shortlet request, partner confirmation, payment and status updates live in MyLagosApp by 30 Nov</t>
  </si>
  <si>
    <t>TECH-KR2.2</t>
  </si>
  <si>
    <t>Notification controls</t>
  </si>
  <si>
    <t>Frequency caps, quiet hours and preference centre live in both apps by 31 Oct</t>
  </si>
  <si>
    <t>TECH-KR2.4</t>
  </si>
  <si>
    <t>MTNN delivery reliability</t>
  </si>
  <si>
    <t>≥80% of MTNN roadmap milestones due Oct–Dec accepted by their committed date</t>
  </si>
  <si>
    <t>TECH-KR2.3</t>
  </si>
  <si>
    <t>Payment and ticketing service availability rate</t>
  </si>
  <si>
    <t>≥99.5% — Minutes the monitored payment and ticketing services are usable ÷ total minutes in the month (planned outages count as downtime). Source: Uptime monitor; MTNN incident log</t>
  </si>
  <si>
    <t>TECH-K01</t>
  </si>
  <si>
    <t>Priority-1 incident recovery rate</t>
  </si>
  <si>
    <t>≥90% — Customer-affecting P1 incidents restored within 4 hours ÷ P1 incidents in the month. Source: Incident log</t>
  </si>
  <si>
    <t>TECH-K02</t>
  </si>
  <si>
    <t>Next-day transaction matching rate</t>
  </si>
  <si>
    <t>100% — Settled transactions matched to order, provider and settlement references by the next business day ÷ settled transactions. Source: Reconciliation report</t>
  </si>
  <si>
    <t>TECH-K03</t>
  </si>
  <si>
    <t>Daily; reported monthly</t>
  </si>
  <si>
    <t>Overdue production-access removals</t>
  </si>
  <si>
    <t>0 — Number of departed or unauthorised users still holding production access after the removal cut-off. Source: Access register; P&amp;C exit list</t>
  </si>
  <si>
    <t>TECH-K05</t>
  </si>
  <si>
    <t>Employee: Bode Oluwasanmi   Signature / date: ______________</t>
  </si>
  <si>
    <t>Q4 2026 scorecard — Gideon Ekom</t>
  </si>
  <si>
    <t>Enugu ticketed events</t>
  </si>
  <si>
    <t>10 ticketed Enugu events live in Q4 under signed commission terms, 1 of them a December event on app-exclusive terms</t>
  </si>
  <si>
    <t>Ticketing commission — Enugu accounts</t>
  </si>
  <si>
    <t>₦250,000 [TBC] ticketing commission earned in Q4 from events you signed, at the contracted rate net of refunds (account owner on the pipeline record)</t>
  </si>
  <si>
    <t>Distribution placements — Enugu</t>
  </si>
  <si>
    <t>3 live placements secured in Enugu (hotel guest messages, event ticket emails, association channels), each with an agreed audience and a tracked link, handed to Marketing within 2 business days</t>
  </si>
  <si>
    <t>Enugu business submissions</t>
  </si>
  <si>
    <t>500 owner-confirmed Enugu business submissions accepted by Operations in Q4</t>
  </si>
  <si>
    <t>Employee: Gideon Ekom   Signature / date: ______________</t>
  </si>
  <si>
    <t>Q4 2026 scorecard — Adaeze Chike</t>
  </si>
  <si>
    <t>Abia ticketed events</t>
  </si>
  <si>
    <t>10 ticketed Abia events live in Q4 under signed commission terms, 1 of them a December event on app-exclusive terms</t>
  </si>
  <si>
    <t>Ticketing commission — Abia accounts</t>
  </si>
  <si>
    <t>Distribution placements — Abia</t>
  </si>
  <si>
    <t>2 live placements secured in Abia (hotel guest messages, event ticket emails, association channels), each with an agreed audience and a tracked link, handed to Marketing within 2 business days</t>
  </si>
  <si>
    <t>Abia business submissions</t>
  </si>
  <si>
    <t>500 owner-confirmed Abia business submissions accepted by Operations in Q4</t>
  </si>
  <si>
    <t>Employee: Adaeze Chike   Signature / date: ______________</t>
  </si>
  <si>
    <t>Q4 2026 scorecard — Chinyere Elechi</t>
  </si>
  <si>
    <t>Welcome journeys</t>
  </si>
  <si>
    <t>Welcome journeys for each new-user source live by 15 Nov; ≥40% [TBC] of recipients complete a first qualifying action within 7 days</t>
  </si>
  <si>
    <t>BM-KR1.1</t>
  </si>
  <si>
    <t>Notification discipline</t>
  </si>
  <si>
    <t>Promotional push ≤3 per user per week from 1 Nov; monthly push opt-out rate below 2% [TBC]</t>
  </si>
  <si>
    <t>Activated users (function)</t>
  </si>
  <si>
    <t>40,000 new users from all channels (campaigns, partner placements, event sign-ups) complete a first qualifying action within 7 days in Q4 (function result, shared by the team through the Team result line)</t>
  </si>
  <si>
    <t>BM-KR1.3</t>
  </si>
  <si>
    <t>Ticket sales via marketing (function)</t>
  </si>
  <si>
    <t>₦20m of Q4 paid-ticket value through marketing campaigns (function result, shared by the team through the Team result line)</t>
  </si>
  <si>
    <t>BM-KR2.1</t>
  </si>
  <si>
    <t>Brand Book approved and applied</t>
  </si>
  <si>
    <t>Brand Book approved by 31 Oct; all app-store pages, websites, social profiles and new assets conform by 15 Dec</t>
  </si>
  <si>
    <t>31 Oct; 15 Dec</t>
  </si>
  <si>
    <t>Paid brand campaigns delivered</t>
  </si>
  <si>
    <t>≥80% of paid brand campaigns delivered in Q4 (minimum five) meet the customer-action target agreed with the client</t>
  </si>
  <si>
    <t>BM-KR2.2</t>
  </si>
  <si>
    <t>Campaign attribution coverage rate</t>
  </si>
  <si>
    <t>100% — Live campaigns with a working link to the promoted item and first-action tracking ÷ live campaigns. Source: Campaign register</t>
  </si>
  <si>
    <t>BM-K05</t>
  </si>
  <si>
    <t>Campaign budget variance</t>
  </si>
  <si>
    <t>≤0% — (Actual + committed spend − approved cap) ÷ approved cap; no approved cap means no spending authority. Source: Campaign register; finance records</t>
  </si>
  <si>
    <t>BM-K06</t>
  </si>
  <si>
    <t>Per campaign; monthly</t>
  </si>
  <si>
    <t>Cost per activated user</t>
  </si>
  <si>
    <t>≤ approved ceiling — Campaign spend ÷ new users completing a first qualifying action attributed to the campaign. Source: Campaign register; analytics (backend records until live)</t>
  </si>
  <si>
    <t>BM-K07</t>
  </si>
  <si>
    <t>Marketing consent violations</t>
  </si>
  <si>
    <t>0 — Promotional sends without valid consent, after opt-out, or beyond the user's chosen frequency. Source: Messaging tool logs</t>
  </si>
  <si>
    <t>BM-K08</t>
  </si>
  <si>
    <t>Employee: Chinyere Elechi   Signature / date: ______________</t>
  </si>
  <si>
    <t>Q4 2026 scorecard — David Idowu-Agida</t>
  </si>
  <si>
    <t>LASG payer campaigns</t>
  </si>
  <si>
    <t>One payer-group campaign per enabled LASG bill type (Land Use Charge, water, waste and others), live within 2 business days of go-live, each with a tracked link</t>
  </si>
  <si>
    <t>From 15 Nov</t>
  </si>
  <si>
    <t>Earned media — LASG launch and festive season</t>
  </si>
  <si>
    <t>12 [TBC] placements in national or Lagos media in Q4 that name MyLagosApp and the specific service (LASG payments, December events or stays); press log with links</t>
  </si>
  <si>
    <t>Payer-group partner channels</t>
  </si>
  <si>
    <t>LASG payment guidance placed through at least 5 associations or institutions whose members pay those bills (e.g. property-owner and business associations) by 15 Dec</t>
  </si>
  <si>
    <t>Brand Book applied — MyLagosApp</t>
  </si>
  <si>
    <t>MyLagosApp store pages, website and social profiles conform to the Brand Book by 15 Dec</t>
  </si>
  <si>
    <t>Employee: David Idowu-Agida   Signature / date: 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</si>
</sst>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000000"/>
      <sz val="14"/>
      <name val="Arial"/>
    </font>
    <font>
      <b/>
      <color rgb="FFFFFFFF"/>
      <sz val="10"/>
      <name val="Arial"/>
    </font>
    <font>
      <color rgb="FF000000"/>
      <sz val="10"/>
      <name val="Arial"/>
    </font>
    <font>
      <b/>
      <color rgb="FF000000"/>
      <sz val="10"/>
      <name val="Arial"/>
    </font>
    <font/>
  </fonts>
  <fills count="5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0" borderId="0" xfId="0" applyFont="1"/>
    <xf numFmtId="2" fontId="3" fillId="4" borderId="1" xfId="0" applyNumberFormat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2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0" defaultColWidth="14.43"/>
  <cols>
    <col min="2" max="2" width="22" customWidth="1"/>
    <col min="3" max="4" width="30" customWidth="1"/>
    <col min="5" max="5" width="20" customWidth="1"/>
    <col min="6" max="6" width="28" customWidth="1"/>
    <col min="7" max="7" width="44" customWidth="1"/>
    <col min="8" max="8" width="12" customWidth="1"/>
    <col min="9" max="9" width="14" customWidth="1"/>
    <col min="10" max="26" width="8.71" customWidth="1"/>
  </cols>
  <sheetData>
    <row r="1" spans="1:1" x14ac:dyDescent="0.25">
      <c r="A1" s="1" t="s">
        <v>0</v>
      </c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4">
        <f>'00001 Ifeoma Mbonu'!L26</f>
      </c>
      <c r="I4" s="3">
        <f>'00001 Ifeoma Mbonu'!L27</f>
      </c>
    </row>
    <row r="5" spans="1:9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4">
        <f>'00002 Precious Iyersehen'!L26</f>
      </c>
      <c r="I5" s="3">
        <f>'00002 Precious Iyersehen'!L27</f>
      </c>
    </row>
    <row r="6" spans="1:9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11</v>
      </c>
      <c r="G6" s="3" t="s">
        <v>29</v>
      </c>
      <c r="H6" s="4">
        <f>'00003 Oladotun Shola Adido'!L28</f>
      </c>
      <c r="I6" s="3">
        <f>'00003 Oladotun Shola Adido'!L29</f>
      </c>
    </row>
    <row r="7" spans="1:9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25</v>
      </c>
      <c r="G7" s="3" t="s">
        <v>34</v>
      </c>
      <c r="H7" s="4">
        <f>'00005 Tobiloba Dada'!L26</f>
      </c>
      <c r="I7" s="3">
        <f>'00005 Tobiloba Dada'!L27</f>
      </c>
    </row>
    <row r="8" spans="1:9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4">
        <f>'00006 Tochukwu Ifeanyi'!L27</f>
      </c>
      <c r="I8" s="3">
        <f>'00006 Tochukwu Ifeanyi'!L28</f>
      </c>
    </row>
    <row r="9" spans="1:9" x14ac:dyDescent="0.25">
      <c r="A9" s="3" t="s">
        <v>42</v>
      </c>
      <c r="B9" s="3" t="s">
        <v>43</v>
      </c>
      <c r="C9" s="3" t="s">
        <v>44</v>
      </c>
      <c r="D9" s="3" t="s">
        <v>39</v>
      </c>
      <c r="E9" s="3" t="s">
        <v>39</v>
      </c>
      <c r="F9" s="3" t="s">
        <v>45</v>
      </c>
      <c r="G9" s="3" t="s">
        <v>46</v>
      </c>
      <c r="H9" s="4">
        <f>'00009 Emmanuel Aneke'!L26</f>
      </c>
      <c r="I9" s="3">
        <f>'00009 Emmanuel Aneke'!L27</f>
      </c>
    </row>
    <row r="10" spans="1:9" x14ac:dyDescent="0.25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11</v>
      </c>
      <c r="G10" s="3" t="s">
        <v>52</v>
      </c>
      <c r="H10" s="4">
        <f>'00010 Cynthia Osakunih'!L29</f>
      </c>
      <c r="I10" s="3">
        <f>'00010 Cynthia Osakunih'!L30</f>
      </c>
    </row>
    <row r="11" spans="1:9" x14ac:dyDescent="0.25">
      <c r="A11" s="3" t="s">
        <v>53</v>
      </c>
      <c r="B11" s="3" t="s">
        <v>54</v>
      </c>
      <c r="C11" s="3" t="s">
        <v>55</v>
      </c>
      <c r="D11" s="3" t="s">
        <v>39</v>
      </c>
      <c r="E11" s="3" t="s">
        <v>39</v>
      </c>
      <c r="F11" s="3" t="s">
        <v>45</v>
      </c>
      <c r="G11" s="3" t="s">
        <v>56</v>
      </c>
      <c r="H11" s="4">
        <f>'00011 John Ojelola'!L26</f>
      </c>
      <c r="I11" s="3">
        <f>'00011 John Ojelola'!L27</f>
      </c>
    </row>
    <row r="12" spans="1:9" x14ac:dyDescent="0.25">
      <c r="A12" s="3" t="s">
        <v>57</v>
      </c>
      <c r="B12" s="3" t="s">
        <v>58</v>
      </c>
      <c r="C12" s="3" t="s">
        <v>32</v>
      </c>
      <c r="D12" s="3" t="s">
        <v>59</v>
      </c>
      <c r="E12" s="3" t="s">
        <v>28</v>
      </c>
      <c r="F12" s="3" t="s">
        <v>25</v>
      </c>
      <c r="G12" s="3" t="s">
        <v>60</v>
      </c>
      <c r="H12" s="4">
        <f>'00012 Bassey Ekpe'!L25</f>
      </c>
      <c r="I12" s="3">
        <f>'00012 Bassey Ekpe'!L26</f>
      </c>
    </row>
    <row r="13" spans="1:9" x14ac:dyDescent="0.25">
      <c r="A13" s="3" t="s">
        <v>61</v>
      </c>
      <c r="B13" s="3" t="s">
        <v>62</v>
      </c>
      <c r="C13" s="3" t="s">
        <v>63</v>
      </c>
      <c r="D13" s="3" t="s">
        <v>20</v>
      </c>
      <c r="E13" s="3" t="s">
        <v>21</v>
      </c>
      <c r="F13" s="3" t="s">
        <v>22</v>
      </c>
      <c r="G13" s="3" t="s">
        <v>64</v>
      </c>
      <c r="H13" s="4">
        <f>'00013 Aaron Agama'!L29</f>
      </c>
      <c r="I13" s="3">
        <f>'00013 Aaron Agama'!L30</f>
      </c>
    </row>
    <row r="14" spans="1:9" x14ac:dyDescent="0.25">
      <c r="A14" s="3" t="s">
        <v>65</v>
      </c>
      <c r="B14" s="3" t="s">
        <v>45</v>
      </c>
      <c r="C14" s="3" t="s">
        <v>66</v>
      </c>
      <c r="D14" s="3" t="s">
        <v>39</v>
      </c>
      <c r="E14" s="3" t="s">
        <v>39</v>
      </c>
      <c r="F14" s="3" t="s">
        <v>11</v>
      </c>
      <c r="G14" s="3" t="s">
        <v>67</v>
      </c>
      <c r="H14" s="4">
        <f>'00014 Abubakar Mohammed'!L31</f>
      </c>
      <c r="I14" s="3">
        <f>'00014 Abubakar Mohammed'!L32</f>
      </c>
    </row>
    <row r="15" spans="1:9" x14ac:dyDescent="0.25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71</v>
      </c>
      <c r="F15" s="3" t="s">
        <v>11</v>
      </c>
      <c r="G15" s="3" t="s">
        <v>72</v>
      </c>
      <c r="H15" s="4">
        <f>'00016 Bode Oluwasanmi'!L30</f>
      </c>
      <c r="I15" s="3">
        <f>'00016 Bode Oluwasanmi'!L31</f>
      </c>
    </row>
    <row r="16" spans="1:9" x14ac:dyDescent="0.25">
      <c r="A16" s="3" t="s">
        <v>73</v>
      </c>
      <c r="B16" s="3" t="s">
        <v>74</v>
      </c>
      <c r="C16" s="3" t="s">
        <v>75</v>
      </c>
      <c r="D16" s="3" t="s">
        <v>39</v>
      </c>
      <c r="E16" s="3" t="s">
        <v>39</v>
      </c>
      <c r="F16" s="3" t="s">
        <v>45</v>
      </c>
      <c r="G16" s="3" t="s">
        <v>76</v>
      </c>
      <c r="H16" s="4">
        <f>'00017 Gideon Ekom'!L26</f>
      </c>
      <c r="I16" s="3">
        <f>'00017 Gideon Ekom'!L27</f>
      </c>
    </row>
    <row r="17" spans="1:9" x14ac:dyDescent="0.25">
      <c r="A17" s="3" t="s">
        <v>77</v>
      </c>
      <c r="B17" s="3" t="s">
        <v>78</v>
      </c>
      <c r="C17" s="3" t="s">
        <v>79</v>
      </c>
      <c r="D17" s="3" t="s">
        <v>39</v>
      </c>
      <c r="E17" s="3" t="s">
        <v>39</v>
      </c>
      <c r="F17" s="3" t="s">
        <v>45</v>
      </c>
      <c r="G17" s="3" t="s">
        <v>80</v>
      </c>
      <c r="H17" s="4">
        <f>'00018 Adaeze Chike'!L26</f>
      </c>
      <c r="I17" s="3">
        <f>'00018 Adaeze Chike'!L27</f>
      </c>
    </row>
    <row r="18" spans="1:9" x14ac:dyDescent="0.25">
      <c r="A18" s="3" t="s">
        <v>81</v>
      </c>
      <c r="B18" s="3" t="s">
        <v>22</v>
      </c>
      <c r="C18" s="3" t="s">
        <v>82</v>
      </c>
      <c r="D18" s="3" t="s">
        <v>83</v>
      </c>
      <c r="E18" s="3" t="s">
        <v>21</v>
      </c>
      <c r="F18" s="3" t="s">
        <v>11</v>
      </c>
      <c r="G18" s="3" t="s">
        <v>84</v>
      </c>
      <c r="H18" s="4">
        <f>'00019 Chinyere Elechi'!L30</f>
      </c>
      <c r="I18" s="3">
        <f>'00019 Chinyere Elechi'!L31</f>
      </c>
    </row>
    <row r="19" spans="1:9" x14ac:dyDescent="0.25">
      <c r="A19" s="3" t="s">
        <v>85</v>
      </c>
      <c r="B19" s="3" t="s">
        <v>86</v>
      </c>
      <c r="C19" s="3" t="s">
        <v>87</v>
      </c>
      <c r="D19" s="3" t="s">
        <v>20</v>
      </c>
      <c r="E19" s="3" t="s">
        <v>21</v>
      </c>
      <c r="F19" s="3" t="s">
        <v>22</v>
      </c>
      <c r="G19" s="3" t="s">
        <v>88</v>
      </c>
      <c r="H19" s="4">
        <f>'00020 David Idowu-Agida'!L28</f>
      </c>
      <c r="I19" s="3">
        <f>'00020 David Idowu-Agida'!L29</f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topLeftCell="C1" activePane="topRight" state="frozen"/>
      <selection pane="topRight" activeCell="D2" sqref="D2"/>
    </sheetView>
  </sheetViews>
  <sheetFormatPr defaultRowHeight="15" outlineLevelRow="0" outlineLevelCol="0" x14ac:dyDescent="0" defaultColWidth="14.43"/>
  <cols>
    <col min="1" max="1" width="5" customWidth="1"/>
    <col min="2" max="2" width="20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89</v>
      </c>
    </row>
    <row r="3" ht="23.25" customHeight="1" spans="1:6" x14ac:dyDescent="0.25">
      <c r="A3" s="5" t="s">
        <v>1</v>
      </c>
      <c r="B3" s="6" t="s">
        <v>10</v>
      </c>
      <c r="C3"/>
      <c r="D3"/>
      <c r="E3"/>
      <c r="F3"/>
    </row>
    <row r="4" ht="34.5" customHeight="1" spans="1:6" x14ac:dyDescent="0.25">
      <c r="A4" s="5" t="s">
        <v>3</v>
      </c>
      <c r="B4" s="6" t="s">
        <v>12</v>
      </c>
      <c r="C4"/>
      <c r="D4"/>
      <c r="E4"/>
      <c r="F4"/>
    </row>
    <row r="5" ht="23.25" customHeight="1" spans="1:6" x14ac:dyDescent="0.25">
      <c r="A5" s="5" t="s">
        <v>4</v>
      </c>
      <c r="B5" s="6" t="s">
        <v>13</v>
      </c>
      <c r="C5"/>
      <c r="D5"/>
      <c r="E5"/>
      <c r="F5"/>
    </row>
    <row r="6" ht="34.5" customHeight="1" spans="1:6" x14ac:dyDescent="0.25">
      <c r="A6" s="5" t="s">
        <v>5</v>
      </c>
      <c r="B6" s="6" t="s">
        <v>14</v>
      </c>
      <c r="C6"/>
      <c r="D6"/>
      <c r="E6"/>
      <c r="F6"/>
    </row>
    <row r="7" ht="23.25" customHeight="1" spans="1:6" x14ac:dyDescent="0.25">
      <c r="A7" s="5" t="s">
        <v>6</v>
      </c>
      <c r="B7" s="6" t="s">
        <v>15</v>
      </c>
      <c r="C7"/>
      <c r="D7"/>
      <c r="E7"/>
      <c r="F7"/>
    </row>
    <row r="8" ht="23.25" customHeight="1" spans="1:6" x14ac:dyDescent="0.25">
      <c r="A8" s="5" t="s">
        <v>7</v>
      </c>
      <c r="B8" s="6" t="s">
        <v>16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109</v>
      </c>
      <c r="G13" s="3">
        <v>10</v>
      </c>
      <c r="H13" s="9"/>
      <c r="I13" s="9"/>
      <c r="J13" s="9"/>
      <c r="K13" s="4">
        <f t="shared" ref="K13:K17" si="0">IF(J13&lt;&gt;"",J13,IF(I13&lt;&gt;"",I13,IF(H13&lt;&gt;"",H13,"")))</f>
      </c>
      <c r="L13" s="10">
        <f t="shared" ref="L13:L17" si="1">IF(K13="","",G13*K13)</f>
      </c>
    </row>
    <row r="14" spans="1:12" x14ac:dyDescent="0.25">
      <c r="A14" s="3">
        <v>2</v>
      </c>
      <c r="B14" s="3" t="s">
        <v>105</v>
      </c>
      <c r="C14" s="3" t="s">
        <v>110</v>
      </c>
      <c r="D14" s="3" t="s">
        <v>111</v>
      </c>
      <c r="E14" s="3" t="s">
        <v>112</v>
      </c>
      <c r="F14" s="3" t="s">
        <v>113</v>
      </c>
      <c r="G14" s="3">
        <v>10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114</v>
      </c>
      <c r="D15" s="3" t="s">
        <v>115</v>
      </c>
      <c r="E15" s="3" t="s">
        <v>116</v>
      </c>
      <c r="F15" s="3" t="s">
        <v>117</v>
      </c>
      <c r="G15" s="3">
        <v>10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118</v>
      </c>
      <c r="D16" s="3" t="s">
        <v>119</v>
      </c>
      <c r="E16" s="3" t="s">
        <v>120</v>
      </c>
      <c r="F16" s="3" t="s">
        <v>121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122</v>
      </c>
      <c r="D17" s="3" t="s">
        <v>123</v>
      </c>
      <c r="E17" s="3" t="s">
        <v>124</v>
      </c>
      <c r="F17" s="3" t="s">
        <v>125</v>
      </c>
      <c r="G17" s="3">
        <v>15</v>
      </c>
      <c r="H17" s="9"/>
      <c r="I17" s="9"/>
      <c r="J17" s="9"/>
      <c r="K17" s="4">
        <f t="shared" si="0"/>
      </c>
      <c r="L17" s="10">
        <f t="shared" si="1"/>
      </c>
    </row>
    <row r="18" ht="15" customHeight="1" spans="1:12" x14ac:dyDescent="0.25">
      <c r="A18" s="7" t="s">
        <v>126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3">
        <v>6</v>
      </c>
      <c r="B19" s="3" t="s">
        <v>127</v>
      </c>
      <c r="C19" s="3" t="s">
        <v>128</v>
      </c>
      <c r="D19" s="3" t="s">
        <v>129</v>
      </c>
      <c r="E19" s="3" t="s">
        <v>124</v>
      </c>
      <c r="F19" s="3" t="s">
        <v>130</v>
      </c>
      <c r="G19" s="3">
        <v>10</v>
      </c>
      <c r="H19" s="9"/>
      <c r="I19" s="9"/>
      <c r="J19" s="9"/>
      <c r="K19" s="4">
        <f t="shared" ref="K19:K20" si="2">IF(COUNT(H19:J19)=0,"",AVERAGE(H19:J19))</f>
      </c>
      <c r="L19" s="10">
        <f t="shared" ref="L19:L20" si="3">IF(K19="","",G19*K19)</f>
      </c>
    </row>
    <row r="20" spans="1:12" x14ac:dyDescent="0.25">
      <c r="A20" s="3">
        <v>7</v>
      </c>
      <c r="B20" s="3" t="s">
        <v>127</v>
      </c>
      <c r="C20" s="3" t="s">
        <v>131</v>
      </c>
      <c r="D20" s="3" t="s">
        <v>132</v>
      </c>
      <c r="E20" s="3" t="s">
        <v>133</v>
      </c>
      <c r="F20" s="3" t="s">
        <v>130</v>
      </c>
      <c r="G20" s="3">
        <v>15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136</v>
      </c>
      <c r="D22" s="3" t="s">
        <v>137</v>
      </c>
      <c r="E22" s="3" t="s">
        <v>124</v>
      </c>
      <c r="F22" s="3" t="s">
        <v>130</v>
      </c>
      <c r="G22" s="3">
        <v>8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138</v>
      </c>
      <c r="D23" s="3" t="s">
        <v>139</v>
      </c>
      <c r="E23" s="3" t="s">
        <v>140</v>
      </c>
      <c r="F23" s="3" t="s">
        <v>141</v>
      </c>
      <c r="G23" s="3">
        <v>7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144</v>
      </c>
      <c r="D30" s="6" t="s">
        <v>145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8:L18"/>
    <mergeCell ref="A21:L21"/>
  </mergeCells>
  <dataValidations count="3">
    <dataValidation type="decimal" allowBlank="1" showInputMessage="1" prompt="Enter a score from 0 to 1" showErrorMessage="1" sqref="H13:J17">
      <formula1>0</formula1>
      <formula2>1</formula2>
    </dataValidation>
    <dataValidation type="decimal" allowBlank="1" showInputMessage="1" prompt="Enter a score from 0 to 1" showErrorMessage="1" sqref="H19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146</v>
      </c>
    </row>
    <row r="3" ht="23.25" customHeight="1" spans="1:6" x14ac:dyDescent="0.25">
      <c r="A3" s="5" t="s">
        <v>1</v>
      </c>
      <c r="B3" s="6" t="s">
        <v>17</v>
      </c>
      <c r="C3"/>
      <c r="D3"/>
      <c r="E3"/>
      <c r="F3"/>
    </row>
    <row r="4" ht="34.5" customHeight="1" spans="1:6" x14ac:dyDescent="0.25">
      <c r="A4" s="5" t="s">
        <v>3</v>
      </c>
      <c r="B4" s="6" t="s">
        <v>19</v>
      </c>
      <c r="C4"/>
      <c r="D4"/>
      <c r="E4"/>
      <c r="F4"/>
    </row>
    <row r="5" ht="23.25" customHeight="1" spans="1:6" x14ac:dyDescent="0.25">
      <c r="A5" s="5" t="s">
        <v>4</v>
      </c>
      <c r="B5" s="6" t="s">
        <v>20</v>
      </c>
      <c r="C5"/>
      <c r="D5"/>
      <c r="E5"/>
      <c r="F5"/>
    </row>
    <row r="6" ht="34.5" customHeight="1" spans="1:6" x14ac:dyDescent="0.25">
      <c r="A6" s="5" t="s">
        <v>5</v>
      </c>
      <c r="B6" s="6" t="s">
        <v>21</v>
      </c>
      <c r="C6"/>
      <c r="D6"/>
      <c r="E6"/>
      <c r="F6"/>
    </row>
    <row r="7" ht="23.25" customHeight="1" spans="1:6" x14ac:dyDescent="0.25">
      <c r="A7" s="5" t="s">
        <v>6</v>
      </c>
      <c r="B7" s="6" t="s">
        <v>22</v>
      </c>
      <c r="C7"/>
      <c r="D7"/>
      <c r="E7"/>
      <c r="F7"/>
    </row>
    <row r="8" ht="23.25" customHeight="1" spans="1:6" x14ac:dyDescent="0.25">
      <c r="A8" s="5" t="s">
        <v>7</v>
      </c>
      <c r="B8" s="6" t="s">
        <v>23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147</v>
      </c>
      <c r="D13" s="3" t="s">
        <v>148</v>
      </c>
      <c r="E13" s="3" t="s">
        <v>149</v>
      </c>
      <c r="F13" s="3" t="s">
        <v>121</v>
      </c>
      <c r="G13" s="3">
        <v>10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150</v>
      </c>
      <c r="D14" s="3" t="s">
        <v>151</v>
      </c>
      <c r="E14" s="3" t="s">
        <v>152</v>
      </c>
      <c r="F14" s="3" t="s">
        <v>153</v>
      </c>
      <c r="G14" s="3">
        <v>20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154</v>
      </c>
      <c r="D15" s="3" t="s">
        <v>155</v>
      </c>
      <c r="E15" s="3" t="s">
        <v>156</v>
      </c>
      <c r="F15" s="3" t="s">
        <v>157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158</v>
      </c>
      <c r="D16" s="3" t="s">
        <v>159</v>
      </c>
      <c r="E16" s="3" t="s">
        <v>160</v>
      </c>
      <c r="F16" s="3" t="s">
        <v>161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162</v>
      </c>
      <c r="D18" s="3" t="s">
        <v>163</v>
      </c>
      <c r="E18" s="3" t="s">
        <v>164</v>
      </c>
      <c r="F18" s="3" t="s">
        <v>130</v>
      </c>
      <c r="G18" s="3">
        <v>10</v>
      </c>
      <c r="H18" s="9"/>
      <c r="I18" s="9"/>
      <c r="J18" s="9"/>
      <c r="K18" s="4">
        <f t="shared" ref="K18:K20" si="2">IF(COUNT(H18:J18)=0,"",AVERAGE(H18:J18))</f>
      </c>
      <c r="L18" s="10">
        <f t="shared" ref="L18:L20" si="3">IF(K18="","",G18*K18)</f>
      </c>
    </row>
    <row r="19" spans="1:12" x14ac:dyDescent="0.25">
      <c r="A19" s="3">
        <v>6</v>
      </c>
      <c r="B19" s="3" t="s">
        <v>127</v>
      </c>
      <c r="C19" s="3" t="s">
        <v>165</v>
      </c>
      <c r="D19" s="3" t="s">
        <v>166</v>
      </c>
      <c r="E19" s="3" t="s">
        <v>167</v>
      </c>
      <c r="F19" s="3" t="s">
        <v>130</v>
      </c>
      <c r="G19" s="3">
        <v>8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168</v>
      </c>
      <c r="D20" s="3" t="s">
        <v>169</v>
      </c>
      <c r="E20" s="3" t="s">
        <v>170</v>
      </c>
      <c r="F20" s="3" t="s">
        <v>171</v>
      </c>
      <c r="G20" s="3">
        <v>7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172</v>
      </c>
      <c r="D22" s="3" t="s">
        <v>173</v>
      </c>
      <c r="E22" s="3" t="s">
        <v>124</v>
      </c>
      <c r="F22" s="3" t="s">
        <v>130</v>
      </c>
      <c r="G22" s="3">
        <v>10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174</v>
      </c>
      <c r="D23" s="3" t="s">
        <v>175</v>
      </c>
      <c r="E23" s="3" t="s">
        <v>176</v>
      </c>
      <c r="F23" s="3" t="s">
        <v>130</v>
      </c>
      <c r="G23" s="3">
        <v>5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177</v>
      </c>
      <c r="D30" s="6" t="s">
        <v>178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1:L21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179</v>
      </c>
    </row>
    <row r="3" ht="23.25" customHeight="1" spans="1:6" x14ac:dyDescent="0.25">
      <c r="A3" s="5" t="s">
        <v>1</v>
      </c>
      <c r="B3" s="6" t="s">
        <v>24</v>
      </c>
      <c r="C3"/>
      <c r="D3"/>
      <c r="E3"/>
      <c r="F3"/>
    </row>
    <row r="4" ht="34.5" customHeight="1" spans="1:6" x14ac:dyDescent="0.25">
      <c r="A4" s="5" t="s">
        <v>3</v>
      </c>
      <c r="B4" s="6" t="s">
        <v>26</v>
      </c>
      <c r="C4"/>
      <c r="D4"/>
      <c r="E4"/>
      <c r="F4"/>
    </row>
    <row r="5" ht="23.25" customHeight="1" spans="1:6" x14ac:dyDescent="0.25">
      <c r="A5" s="5" t="s">
        <v>4</v>
      </c>
      <c r="B5" s="6" t="s">
        <v>27</v>
      </c>
      <c r="C5"/>
      <c r="D5"/>
      <c r="E5"/>
      <c r="F5"/>
    </row>
    <row r="6" ht="34.5" customHeight="1" spans="1:6" x14ac:dyDescent="0.25">
      <c r="A6" s="5" t="s">
        <v>5</v>
      </c>
      <c r="B6" s="6" t="s">
        <v>28</v>
      </c>
      <c r="C6"/>
      <c r="D6"/>
      <c r="E6"/>
      <c r="F6"/>
    </row>
    <row r="7" ht="23.25" customHeight="1" spans="1:6" x14ac:dyDescent="0.25">
      <c r="A7" s="5" t="s">
        <v>6</v>
      </c>
      <c r="B7" s="6" t="s">
        <v>11</v>
      </c>
      <c r="C7"/>
      <c r="D7"/>
      <c r="E7"/>
      <c r="F7"/>
    </row>
    <row r="8" ht="23.25" customHeight="1" spans="1:6" x14ac:dyDescent="0.25">
      <c r="A8" s="5" t="s">
        <v>7</v>
      </c>
      <c r="B8" s="6" t="s">
        <v>29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180</v>
      </c>
      <c r="D13" s="3" t="s">
        <v>181</v>
      </c>
      <c r="E13" s="3" t="s">
        <v>182</v>
      </c>
      <c r="F13" s="3" t="s">
        <v>183</v>
      </c>
      <c r="G13" s="3">
        <v>20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184</v>
      </c>
      <c r="D14" s="3" t="s">
        <v>185</v>
      </c>
      <c r="E14" s="3" t="s">
        <v>186</v>
      </c>
      <c r="F14" s="3" t="s">
        <v>121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187</v>
      </c>
      <c r="D15" s="3" t="s">
        <v>188</v>
      </c>
      <c r="E15" s="3" t="s">
        <v>189</v>
      </c>
      <c r="F15" s="3" t="s">
        <v>125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190</v>
      </c>
      <c r="D16" s="3" t="s">
        <v>191</v>
      </c>
      <c r="E16" s="3" t="s">
        <v>192</v>
      </c>
      <c r="F16" s="3" t="s">
        <v>121</v>
      </c>
      <c r="G16" s="3">
        <v>10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193</v>
      </c>
      <c r="D18" s="3" t="s">
        <v>194</v>
      </c>
      <c r="E18" s="3" t="s">
        <v>195</v>
      </c>
      <c r="F18" s="3" t="s">
        <v>196</v>
      </c>
      <c r="G18" s="3">
        <v>8</v>
      </c>
      <c r="H18" s="9"/>
      <c r="I18" s="9"/>
      <c r="J18" s="9"/>
      <c r="K18" s="4">
        <f t="shared" ref="K18:K21" si="2">IF(COUNT(H18:J18)=0,"",AVERAGE(H18:J18))</f>
      </c>
      <c r="L18" s="10">
        <f t="shared" ref="L18:L21" si="3">IF(K18="","",G18*K18)</f>
      </c>
    </row>
    <row r="19" spans="1:12" x14ac:dyDescent="0.25">
      <c r="A19" s="3">
        <v>6</v>
      </c>
      <c r="B19" s="3" t="s">
        <v>127</v>
      </c>
      <c r="C19" s="3" t="s">
        <v>197</v>
      </c>
      <c r="D19" s="3" t="s">
        <v>198</v>
      </c>
      <c r="E19" s="3" t="s">
        <v>199</v>
      </c>
      <c r="F19" s="3" t="s">
        <v>200</v>
      </c>
      <c r="G19" s="3">
        <v>7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201</v>
      </c>
      <c r="D20" s="3" t="s">
        <v>202</v>
      </c>
      <c r="E20" s="3" t="s">
        <v>203</v>
      </c>
      <c r="F20" s="3" t="s">
        <v>130</v>
      </c>
      <c r="G20" s="3">
        <v>5</v>
      </c>
      <c r="H20" s="9"/>
      <c r="I20" s="9"/>
      <c r="J20" s="9"/>
      <c r="K20" s="4">
        <f t="shared" si="2"/>
      </c>
      <c r="L20" s="10">
        <f t="shared" si="3"/>
      </c>
    </row>
    <row r="21" ht="15.75" customHeight="1" spans="1:12" x14ac:dyDescent="0.25">
      <c r="A21" s="3">
        <v>8</v>
      </c>
      <c r="B21" s="3" t="s">
        <v>127</v>
      </c>
      <c r="C21" s="3" t="s">
        <v>204</v>
      </c>
      <c r="D21" s="3" t="s">
        <v>205</v>
      </c>
      <c r="E21" s="3" t="s">
        <v>206</v>
      </c>
      <c r="F21" s="3" t="s">
        <v>207</v>
      </c>
      <c r="G21" s="3">
        <v>5</v>
      </c>
      <c r="H21" s="9"/>
      <c r="I21" s="9"/>
      <c r="J21" s="9"/>
      <c r="K21" s="4">
        <f t="shared" si="2"/>
      </c>
      <c r="L21" s="10">
        <f t="shared" si="3"/>
      </c>
    </row>
    <row r="22" ht="15" customHeight="1" spans="1:12" x14ac:dyDescent="0.25">
      <c r="A22" s="7" t="s">
        <v>134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15.75" customHeight="1" spans="1:12" x14ac:dyDescent="0.25">
      <c r="A23" s="3">
        <v>9</v>
      </c>
      <c r="B23" s="3" t="s">
        <v>135</v>
      </c>
      <c r="C23" s="3" t="s">
        <v>172</v>
      </c>
      <c r="D23" s="3" t="s">
        <v>208</v>
      </c>
      <c r="E23" s="3" t="s">
        <v>124</v>
      </c>
      <c r="F23" s="3" t="s">
        <v>130</v>
      </c>
      <c r="G23" s="3">
        <v>8</v>
      </c>
      <c r="H23" s="9"/>
      <c r="I23" s="9"/>
      <c r="J23" s="9"/>
      <c r="K23" s="4">
        <f t="shared" ref="K23:K25" si="4">IF(COUNT(H23:J23)=0,"",AVERAGE(H23:J23))</f>
      </c>
      <c r="L23" s="10">
        <f t="shared" ref="L23:L25" si="5">IF(K23="","",G23*K23)</f>
      </c>
    </row>
    <row r="24" ht="15.75" customHeight="1" spans="1:12" x14ac:dyDescent="0.25">
      <c r="A24" s="3">
        <v>10</v>
      </c>
      <c r="B24" s="3" t="s">
        <v>135</v>
      </c>
      <c r="C24" s="3" t="s">
        <v>209</v>
      </c>
      <c r="D24" s="3" t="s">
        <v>210</v>
      </c>
      <c r="E24" s="3" t="s">
        <v>176</v>
      </c>
      <c r="F24" s="3" t="s">
        <v>130</v>
      </c>
      <c r="G24" s="3">
        <v>3</v>
      </c>
      <c r="H24" s="9"/>
      <c r="I24" s="9"/>
      <c r="J24" s="9"/>
      <c r="K24" s="4">
        <f t="shared" si="4"/>
      </c>
      <c r="L24" s="10">
        <f t="shared" si="5"/>
      </c>
    </row>
    <row r="25" ht="15.75" customHeight="1" spans="1:12" x14ac:dyDescent="0.25">
      <c r="A25" s="3">
        <v>11</v>
      </c>
      <c r="B25" s="3" t="s">
        <v>135</v>
      </c>
      <c r="C25" s="3" t="s">
        <v>211</v>
      </c>
      <c r="D25" s="3" t="s">
        <v>212</v>
      </c>
      <c r="E25" s="3" t="s">
        <v>213</v>
      </c>
      <c r="F25" s="3" t="s">
        <v>141</v>
      </c>
      <c r="G25" s="3">
        <v>4</v>
      </c>
      <c r="H25" s="9"/>
      <c r="I25" s="9"/>
      <c r="J25" s="9"/>
      <c r="K25" s="4">
        <f t="shared" si="4"/>
      </c>
      <c r="L25" s="10">
        <f t="shared" si="5"/>
      </c>
    </row>
    <row r="26" ht="15.75" customHeight="1" x14ac:dyDescent="0.25"/>
    <row r="27" ht="15.75" customHeight="1" spans="10:12" x14ac:dyDescent="0.25">
      <c r="J27" s="5" t="s">
        <v>142</v>
      </c>
      <c r="L27" s="5">
        <f>SUM(G12:G25)</f>
        <v>100</v>
      </c>
    </row>
    <row r="28" ht="15.75" customHeight="1" spans="10:12" x14ac:dyDescent="0.25">
      <c r="J28" s="5" t="s">
        <v>8</v>
      </c>
      <c r="L28" s="11">
        <f>IFERROR(SUM(L12:L25)/SUMPRODUCT((K12:K25&lt;&gt;"")*G12:G25),"")</f>
      </c>
    </row>
    <row r="29" ht="15.75" customHeight="1" spans="10:12" x14ac:dyDescent="0.25">
      <c r="J29" s="5" t="s">
        <v>9</v>
      </c>
      <c r="L29" s="5">
        <f>IF(L28="","",IF(L28&gt;=0.9,"Exceeds",IF(L28&gt;=0.75,"Meets",IF(L28&gt;=0.5,"Partly meets","Below"))))</f>
      </c>
    </row>
    <row r="30" ht="15.75" customHeight="1" x14ac:dyDescent="0.25"/>
    <row r="31" ht="15.75" customHeight="1" spans="1:1" x14ac:dyDescent="0.25">
      <c r="A31" s="12" t="s">
        <v>143</v>
      </c>
    </row>
    <row r="32" ht="15.75" customHeight="1" spans="3:4" x14ac:dyDescent="0.25">
      <c r="C32" s="6" t="s">
        <v>214</v>
      </c>
      <c r="D32" s="6" t="s">
        <v>215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2:L22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1">
      <formula1>0</formula1>
      <formula2>1</formula2>
    </dataValidation>
    <dataValidation type="decimal" allowBlank="1" showInputMessage="1" prompt="Enter a score from 0 to 1" showErrorMessage="1" sqref="H23:J25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216</v>
      </c>
    </row>
    <row r="3" ht="23.25" customHeight="1" spans="1:6" x14ac:dyDescent="0.25">
      <c r="A3" s="5" t="s">
        <v>1</v>
      </c>
      <c r="B3" s="6" t="s">
        <v>30</v>
      </c>
      <c r="C3"/>
      <c r="D3"/>
      <c r="E3"/>
      <c r="F3"/>
    </row>
    <row r="4" ht="34.5" customHeight="1" spans="1:6" x14ac:dyDescent="0.25">
      <c r="A4" s="5" t="s">
        <v>3</v>
      </c>
      <c r="B4" s="6" t="s">
        <v>32</v>
      </c>
      <c r="C4"/>
      <c r="D4"/>
      <c r="E4"/>
      <c r="F4"/>
    </row>
    <row r="5" ht="23.25" customHeight="1" spans="1:6" x14ac:dyDescent="0.25">
      <c r="A5" s="5" t="s">
        <v>4</v>
      </c>
      <c r="B5" s="6" t="s">
        <v>33</v>
      </c>
      <c r="C5"/>
      <c r="D5"/>
      <c r="E5"/>
      <c r="F5"/>
    </row>
    <row r="6" ht="34.5" customHeight="1" spans="1:6" x14ac:dyDescent="0.25">
      <c r="A6" s="5" t="s">
        <v>5</v>
      </c>
      <c r="B6" s="6" t="s">
        <v>28</v>
      </c>
      <c r="C6"/>
      <c r="D6"/>
      <c r="E6"/>
      <c r="F6"/>
    </row>
    <row r="7" ht="23.25" customHeight="1" spans="1:6" x14ac:dyDescent="0.25">
      <c r="A7" s="5" t="s">
        <v>6</v>
      </c>
      <c r="B7" s="6" t="s">
        <v>25</v>
      </c>
      <c r="C7"/>
      <c r="D7"/>
      <c r="E7"/>
      <c r="F7"/>
    </row>
    <row r="8" ht="23.25" customHeight="1" spans="1:6" x14ac:dyDescent="0.25">
      <c r="A8" s="5" t="s">
        <v>7</v>
      </c>
      <c r="B8" s="6" t="s">
        <v>34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217</v>
      </c>
      <c r="D13" s="3" t="s">
        <v>218</v>
      </c>
      <c r="E13" s="3" t="s">
        <v>219</v>
      </c>
      <c r="F13" s="3" t="s">
        <v>220</v>
      </c>
      <c r="G13" s="3">
        <v>15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221</v>
      </c>
      <c r="D14" s="3" t="s">
        <v>222</v>
      </c>
      <c r="E14" s="3" t="s">
        <v>192</v>
      </c>
      <c r="F14" s="3" t="s">
        <v>121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223</v>
      </c>
      <c r="D15" s="3" t="s">
        <v>224</v>
      </c>
      <c r="E15" s="3" t="s">
        <v>186</v>
      </c>
      <c r="F15" s="3" t="s">
        <v>225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226</v>
      </c>
      <c r="D16" s="3" t="s">
        <v>227</v>
      </c>
      <c r="E16" s="3" t="s">
        <v>189</v>
      </c>
      <c r="F16" s="3" t="s">
        <v>228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193</v>
      </c>
      <c r="D18" s="3" t="s">
        <v>194</v>
      </c>
      <c r="E18" s="3" t="s">
        <v>195</v>
      </c>
      <c r="F18" s="3" t="s">
        <v>196</v>
      </c>
      <c r="G18" s="3">
        <v>8</v>
      </c>
      <c r="H18" s="9"/>
      <c r="I18" s="9"/>
      <c r="J18" s="9"/>
      <c r="K18" s="4">
        <f t="shared" ref="K18:K20" si="2">IF(COUNT(H18:J18)=0,"",AVERAGE(H18:J18))</f>
      </c>
      <c r="L18" s="10">
        <f t="shared" ref="L18:L20" si="3">IF(K18="","",G18*K18)</f>
      </c>
    </row>
    <row r="19" spans="1:12" x14ac:dyDescent="0.25">
      <c r="A19" s="3">
        <v>6</v>
      </c>
      <c r="B19" s="3" t="s">
        <v>127</v>
      </c>
      <c r="C19" s="3" t="s">
        <v>201</v>
      </c>
      <c r="D19" s="3" t="s">
        <v>202</v>
      </c>
      <c r="E19" s="3" t="s">
        <v>203</v>
      </c>
      <c r="F19" s="3" t="s">
        <v>130</v>
      </c>
      <c r="G19" s="3">
        <v>7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229</v>
      </c>
      <c r="D20" s="3" t="s">
        <v>230</v>
      </c>
      <c r="E20" s="3" t="s">
        <v>231</v>
      </c>
      <c r="F20" s="3" t="s">
        <v>130</v>
      </c>
      <c r="G20" s="3">
        <v>10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172</v>
      </c>
      <c r="D22" s="3" t="s">
        <v>173</v>
      </c>
      <c r="E22" s="3" t="s">
        <v>124</v>
      </c>
      <c r="F22" s="3" t="s">
        <v>130</v>
      </c>
      <c r="G22" s="3">
        <v>10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174</v>
      </c>
      <c r="D23" s="3" t="s">
        <v>175</v>
      </c>
      <c r="E23" s="3" t="s">
        <v>176</v>
      </c>
      <c r="F23" s="3" t="s">
        <v>130</v>
      </c>
      <c r="G23" s="3">
        <v>5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232</v>
      </c>
      <c r="D30" s="6" t="s">
        <v>233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1:L21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234</v>
      </c>
    </row>
    <row r="3" ht="23.25" customHeight="1" spans="1:6" x14ac:dyDescent="0.25">
      <c r="A3" s="5" t="s">
        <v>1</v>
      </c>
      <c r="B3" s="6" t="s">
        <v>35</v>
      </c>
      <c r="C3"/>
      <c r="D3"/>
      <c r="E3"/>
      <c r="F3"/>
    </row>
    <row r="4" ht="34.5" customHeight="1" spans="1:6" x14ac:dyDescent="0.25">
      <c r="A4" s="5" t="s">
        <v>3</v>
      </c>
      <c r="B4" s="6" t="s">
        <v>37</v>
      </c>
      <c r="C4"/>
      <c r="D4"/>
      <c r="E4"/>
      <c r="F4"/>
    </row>
    <row r="5" ht="23.25" customHeight="1" spans="1:6" x14ac:dyDescent="0.25">
      <c r="A5" s="5" t="s">
        <v>4</v>
      </c>
      <c r="B5" s="6" t="s">
        <v>38</v>
      </c>
      <c r="C5"/>
      <c r="D5"/>
      <c r="E5"/>
      <c r="F5"/>
    </row>
    <row r="6" ht="34.5" customHeight="1" spans="1:6" x14ac:dyDescent="0.25">
      <c r="A6" s="5" t="s">
        <v>5</v>
      </c>
      <c r="B6" s="6" t="s">
        <v>39</v>
      </c>
      <c r="C6"/>
      <c r="D6"/>
      <c r="E6"/>
      <c r="F6"/>
    </row>
    <row r="7" ht="23.25" customHeight="1" spans="1:6" x14ac:dyDescent="0.25">
      <c r="A7" s="5" t="s">
        <v>6</v>
      </c>
      <c r="B7" s="6" t="s">
        <v>40</v>
      </c>
      <c r="C7"/>
      <c r="D7"/>
      <c r="E7"/>
      <c r="F7"/>
    </row>
    <row r="8" ht="23.25" customHeight="1" spans="1:6" x14ac:dyDescent="0.25">
      <c r="A8" s="5" t="s">
        <v>7</v>
      </c>
      <c r="B8" s="6" t="s">
        <v>41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235</v>
      </c>
      <c r="D13" s="3" t="s">
        <v>236</v>
      </c>
      <c r="E13" s="3" t="s">
        <v>237</v>
      </c>
      <c r="F13" s="3" t="s">
        <v>121</v>
      </c>
      <c r="G13" s="3">
        <v>12</v>
      </c>
      <c r="H13" s="9"/>
      <c r="I13" s="9"/>
      <c r="J13" s="9"/>
      <c r="K13" s="4">
        <f t="shared" ref="K13:K17" si="0">IF(J13&lt;&gt;"",J13,IF(I13&lt;&gt;"",I13,IF(H13&lt;&gt;"",H13,"")))</f>
      </c>
      <c r="L13" s="10">
        <f t="shared" ref="L13:L17" si="1">IF(K13="","",G13*K13)</f>
      </c>
    </row>
    <row r="14" spans="1:12" x14ac:dyDescent="0.25">
      <c r="A14" s="3">
        <v>2</v>
      </c>
      <c r="B14" s="3" t="s">
        <v>105</v>
      </c>
      <c r="C14" s="3" t="s">
        <v>238</v>
      </c>
      <c r="D14" s="3" t="s">
        <v>239</v>
      </c>
      <c r="E14" s="3" t="s">
        <v>240</v>
      </c>
      <c r="F14" s="3" t="s">
        <v>121</v>
      </c>
      <c r="G14" s="3">
        <v>18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241</v>
      </c>
      <c r="D15" s="3" t="s">
        <v>242</v>
      </c>
      <c r="E15" s="3" t="s">
        <v>243</v>
      </c>
      <c r="F15" s="3" t="s">
        <v>121</v>
      </c>
      <c r="G15" s="3">
        <v>10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244</v>
      </c>
      <c r="D16" s="3" t="s">
        <v>245</v>
      </c>
      <c r="E16" s="3" t="s">
        <v>246</v>
      </c>
      <c r="F16" s="3" t="s">
        <v>121</v>
      </c>
      <c r="G16" s="3">
        <v>10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247</v>
      </c>
      <c r="D17" s="3" t="s">
        <v>248</v>
      </c>
      <c r="E17" s="3" t="s">
        <v>192</v>
      </c>
      <c r="F17" s="3" t="s">
        <v>121</v>
      </c>
      <c r="G17" s="3">
        <v>10</v>
      </c>
      <c r="H17" s="9"/>
      <c r="I17" s="9"/>
      <c r="J17" s="9"/>
      <c r="K17" s="4">
        <f t="shared" si="0"/>
      </c>
      <c r="L17" s="10">
        <f t="shared" si="1"/>
      </c>
    </row>
    <row r="18" ht="15" customHeight="1" spans="1:12" x14ac:dyDescent="0.25">
      <c r="A18" s="7" t="s">
        <v>126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3">
        <v>6</v>
      </c>
      <c r="B19" s="3" t="s">
        <v>127</v>
      </c>
      <c r="C19" s="3" t="s">
        <v>249</v>
      </c>
      <c r="D19" s="3" t="s">
        <v>250</v>
      </c>
      <c r="E19" s="3" t="s">
        <v>251</v>
      </c>
      <c r="F19" s="3" t="s">
        <v>130</v>
      </c>
      <c r="G19" s="3">
        <v>10</v>
      </c>
      <c r="H19" s="9"/>
      <c r="I19" s="9"/>
      <c r="J19" s="9"/>
      <c r="K19" s="4">
        <f t="shared" ref="K19:K21" si="2">IF(COUNT(H19:J19)=0,"",AVERAGE(H19:J19))</f>
      </c>
      <c r="L19" s="10">
        <f t="shared" ref="L19:L21" si="3">IF(K19="","",G19*K19)</f>
      </c>
    </row>
    <row r="20" spans="1:12" x14ac:dyDescent="0.25">
      <c r="A20" s="3">
        <v>7</v>
      </c>
      <c r="B20" s="3" t="s">
        <v>127</v>
      </c>
      <c r="C20" s="3" t="s">
        <v>252</v>
      </c>
      <c r="D20" s="3" t="s">
        <v>253</v>
      </c>
      <c r="E20" s="3" t="s">
        <v>254</v>
      </c>
      <c r="F20" s="3" t="s">
        <v>130</v>
      </c>
      <c r="G20" s="3">
        <v>8</v>
      </c>
      <c r="H20" s="9"/>
      <c r="I20" s="9"/>
      <c r="J20" s="9"/>
      <c r="K20" s="4">
        <f t="shared" si="2"/>
      </c>
      <c r="L20" s="10">
        <f t="shared" si="3"/>
      </c>
    </row>
    <row r="21" ht="15.75" customHeight="1" spans="1:12" x14ac:dyDescent="0.25">
      <c r="A21" s="3">
        <v>8</v>
      </c>
      <c r="B21" s="3" t="s">
        <v>127</v>
      </c>
      <c r="C21" s="3" t="s">
        <v>255</v>
      </c>
      <c r="D21" s="3" t="s">
        <v>256</v>
      </c>
      <c r="E21" s="3" t="s">
        <v>257</v>
      </c>
      <c r="F21" s="3" t="s">
        <v>258</v>
      </c>
      <c r="G21" s="3">
        <v>7</v>
      </c>
      <c r="H21" s="9"/>
      <c r="I21" s="9"/>
      <c r="J21" s="9"/>
      <c r="K21" s="4">
        <f t="shared" si="2"/>
      </c>
      <c r="L21" s="10">
        <f t="shared" si="3"/>
      </c>
    </row>
    <row r="22" ht="15" customHeight="1" spans="1:12" x14ac:dyDescent="0.25">
      <c r="A22" s="7" t="s">
        <v>134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15.75" customHeight="1" spans="1:12" x14ac:dyDescent="0.25">
      <c r="A23" s="3">
        <v>9</v>
      </c>
      <c r="B23" s="3" t="s">
        <v>135</v>
      </c>
      <c r="C23" s="3" t="s">
        <v>172</v>
      </c>
      <c r="D23" s="3" t="s">
        <v>173</v>
      </c>
      <c r="E23" s="3" t="s">
        <v>124</v>
      </c>
      <c r="F23" s="3" t="s">
        <v>130</v>
      </c>
      <c r="G23" s="3">
        <v>10</v>
      </c>
      <c r="H23" s="9"/>
      <c r="I23" s="9"/>
      <c r="J23" s="9"/>
      <c r="K23" s="4">
        <f t="shared" ref="K23:K24" si="4">IF(COUNT(H23:J23)=0,"",AVERAGE(H23:J23))</f>
      </c>
      <c r="L23" s="10">
        <f t="shared" ref="L23:L24" si="5">IF(K23="","",G23*K23)</f>
      </c>
    </row>
    <row r="24" ht="15.75" customHeight="1" spans="1:12" x14ac:dyDescent="0.25">
      <c r="A24" s="3">
        <v>10</v>
      </c>
      <c r="B24" s="3" t="s">
        <v>135</v>
      </c>
      <c r="C24" s="3" t="s">
        <v>174</v>
      </c>
      <c r="D24" s="3" t="s">
        <v>175</v>
      </c>
      <c r="E24" s="3" t="s">
        <v>176</v>
      </c>
      <c r="F24" s="3" t="s">
        <v>130</v>
      </c>
      <c r="G24" s="3">
        <v>5</v>
      </c>
      <c r="H24" s="9"/>
      <c r="I24" s="9"/>
      <c r="J24" s="9"/>
      <c r="K24" s="4">
        <f t="shared" si="4"/>
      </c>
      <c r="L24" s="10">
        <f t="shared" si="5"/>
      </c>
    </row>
    <row r="25" ht="15.75" customHeight="1" x14ac:dyDescent="0.25"/>
    <row r="26" ht="15.75" customHeight="1" spans="10:12" x14ac:dyDescent="0.25">
      <c r="J26" s="5" t="s">
        <v>142</v>
      </c>
      <c r="L26" s="5">
        <f>SUM(G12:G24)</f>
        <v>100</v>
      </c>
    </row>
    <row r="27" ht="15.75" customHeight="1" spans="10:12" x14ac:dyDescent="0.25">
      <c r="J27" s="5" t="s">
        <v>8</v>
      </c>
      <c r="L27" s="11">
        <f>IFERROR(SUM(L12:L24)/SUMPRODUCT((K12:K24&lt;&gt;"")*G12:G24),"")</f>
      </c>
    </row>
    <row r="28" ht="15.75" customHeight="1" spans="10:12" x14ac:dyDescent="0.25">
      <c r="J28" s="5" t="s">
        <v>9</v>
      </c>
      <c r="L28" s="5">
        <f>IF(L27="","",IF(L27&gt;=0.9,"Exceeds",IF(L27&gt;=0.75,"Meets",IF(L27&gt;=0.5,"Partly meets","Below"))))</f>
      </c>
    </row>
    <row r="29" ht="15.75" customHeight="1" x14ac:dyDescent="0.25"/>
    <row r="30" ht="15.75" customHeight="1" spans="1:1" x14ac:dyDescent="0.25">
      <c r="A30" s="12" t="s">
        <v>143</v>
      </c>
    </row>
    <row r="31" ht="15.75" customHeight="1" spans="3:4" x14ac:dyDescent="0.25">
      <c r="C31" s="6" t="s">
        <v>259</v>
      </c>
      <c r="D31" s="6" t="s">
        <v>260</v>
      </c>
    </row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8:L18"/>
    <mergeCell ref="A22:L22"/>
  </mergeCells>
  <dataValidations count="3">
    <dataValidation type="decimal" allowBlank="1" showInputMessage="1" prompt="Enter a score from 0 to 1" showErrorMessage="1" sqref="H13:J17">
      <formula1>0</formula1>
      <formula2>1</formula2>
    </dataValidation>
    <dataValidation type="decimal" allowBlank="1" showInputMessage="1" prompt="Enter a score from 0 to 1" showErrorMessage="1" sqref="H19:J21">
      <formula1>0</formula1>
      <formula2>1</formula2>
    </dataValidation>
    <dataValidation type="decimal" allowBlank="1" showInputMessage="1" prompt="Enter a score from 0 to 1" showErrorMessage="1" sqref="H23:J24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topLeftCell="C1" activePane="topRight" state="frozen"/>
      <selection pane="topRight" activeCell="D2" sqref="D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261</v>
      </c>
    </row>
    <row r="3" ht="23.25" customHeight="1" spans="1:6" x14ac:dyDescent="0.25">
      <c r="A3" s="5" t="s">
        <v>1</v>
      </c>
      <c r="B3" s="6" t="s">
        <v>42</v>
      </c>
      <c r="C3"/>
      <c r="D3"/>
      <c r="E3"/>
      <c r="F3"/>
    </row>
    <row r="4" ht="34.5" customHeight="1" spans="1:6" x14ac:dyDescent="0.25">
      <c r="A4" s="5" t="s">
        <v>3</v>
      </c>
      <c r="B4" s="6" t="s">
        <v>44</v>
      </c>
      <c r="C4"/>
      <c r="D4"/>
      <c r="E4"/>
      <c r="F4"/>
    </row>
    <row r="5" ht="23.25" customHeight="1" spans="1:6" x14ac:dyDescent="0.25">
      <c r="A5" s="5" t="s">
        <v>4</v>
      </c>
      <c r="B5" s="6" t="s">
        <v>39</v>
      </c>
      <c r="C5"/>
      <c r="D5"/>
      <c r="E5"/>
      <c r="F5"/>
    </row>
    <row r="6" ht="34.5" customHeight="1" spans="1:6" x14ac:dyDescent="0.25">
      <c r="A6" s="5" t="s">
        <v>5</v>
      </c>
      <c r="B6" s="6" t="s">
        <v>39</v>
      </c>
      <c r="C6"/>
      <c r="D6"/>
      <c r="E6"/>
      <c r="F6"/>
    </row>
    <row r="7" ht="23.25" customHeight="1" spans="1:6" x14ac:dyDescent="0.25">
      <c r="A7" s="5" t="s">
        <v>6</v>
      </c>
      <c r="B7" s="6" t="s">
        <v>45</v>
      </c>
      <c r="C7"/>
      <c r="D7"/>
      <c r="E7"/>
      <c r="F7"/>
    </row>
    <row r="8" ht="23.25" customHeight="1" spans="1:6" x14ac:dyDescent="0.25">
      <c r="A8" s="5" t="s">
        <v>7</v>
      </c>
      <c r="B8" s="6" t="s">
        <v>46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262</v>
      </c>
      <c r="D13" s="3" t="s">
        <v>263</v>
      </c>
      <c r="E13" s="3" t="s">
        <v>237</v>
      </c>
      <c r="F13" s="3" t="s">
        <v>121</v>
      </c>
      <c r="G13" s="3">
        <v>15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264</v>
      </c>
      <c r="D14" s="3" t="s">
        <v>265</v>
      </c>
      <c r="E14" s="3" t="s">
        <v>243</v>
      </c>
      <c r="F14" s="3" t="s">
        <v>121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266</v>
      </c>
      <c r="D15" s="3" t="s">
        <v>267</v>
      </c>
      <c r="E15" s="3" t="s">
        <v>246</v>
      </c>
      <c r="F15" s="3" t="s">
        <v>121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268</v>
      </c>
      <c r="D16" s="3" t="s">
        <v>269</v>
      </c>
      <c r="E16" s="3" t="s">
        <v>192</v>
      </c>
      <c r="F16" s="3" t="s">
        <v>121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249</v>
      </c>
      <c r="D18" s="3" t="s">
        <v>250</v>
      </c>
      <c r="E18" s="3" t="s">
        <v>251</v>
      </c>
      <c r="F18" s="3" t="s">
        <v>130</v>
      </c>
      <c r="G18" s="3">
        <v>10</v>
      </c>
      <c r="H18" s="9"/>
      <c r="I18" s="9"/>
      <c r="J18" s="9"/>
      <c r="K18" s="4">
        <f t="shared" ref="K18:K20" si="2">IF(COUNT(H18:J18)=0,"",AVERAGE(H18:J18))</f>
      </c>
      <c r="L18" s="10">
        <f t="shared" ref="L18:L20" si="3">IF(K18="","",G18*K18)</f>
      </c>
    </row>
    <row r="19" spans="1:12" x14ac:dyDescent="0.25">
      <c r="A19" s="3">
        <v>6</v>
      </c>
      <c r="B19" s="3" t="s">
        <v>127</v>
      </c>
      <c r="C19" s="3" t="s">
        <v>252</v>
      </c>
      <c r="D19" s="3" t="s">
        <v>253</v>
      </c>
      <c r="E19" s="3" t="s">
        <v>254</v>
      </c>
      <c r="F19" s="3" t="s">
        <v>130</v>
      </c>
      <c r="G19" s="3">
        <v>8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255</v>
      </c>
      <c r="D20" s="3" t="s">
        <v>256</v>
      </c>
      <c r="E20" s="3" t="s">
        <v>257</v>
      </c>
      <c r="F20" s="3" t="s">
        <v>258</v>
      </c>
      <c r="G20" s="3">
        <v>7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172</v>
      </c>
      <c r="D22" s="3" t="s">
        <v>173</v>
      </c>
      <c r="E22" s="3" t="s">
        <v>124</v>
      </c>
      <c r="F22" s="3" t="s">
        <v>130</v>
      </c>
      <c r="G22" s="3">
        <v>10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174</v>
      </c>
      <c r="D23" s="3" t="s">
        <v>175</v>
      </c>
      <c r="E23" s="3" t="s">
        <v>176</v>
      </c>
      <c r="F23" s="3" t="s">
        <v>130</v>
      </c>
      <c r="G23" s="3">
        <v>5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270</v>
      </c>
      <c r="D30" s="6" t="s">
        <v>260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1:L21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7.29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271</v>
      </c>
    </row>
    <row r="3" ht="23.25" customHeight="1" spans="1:6" x14ac:dyDescent="0.25">
      <c r="A3" s="5" t="s">
        <v>1</v>
      </c>
      <c r="B3" s="6" t="s">
        <v>47</v>
      </c>
      <c r="C3"/>
      <c r="D3"/>
      <c r="E3"/>
      <c r="F3"/>
    </row>
    <row r="4" ht="34.5" customHeight="1" spans="1:6" x14ac:dyDescent="0.25">
      <c r="A4" s="5" t="s">
        <v>3</v>
      </c>
      <c r="B4" s="6" t="s">
        <v>49</v>
      </c>
      <c r="C4"/>
      <c r="D4"/>
      <c r="E4"/>
      <c r="F4"/>
    </row>
    <row r="5" ht="23.25" customHeight="1" spans="1:6" x14ac:dyDescent="0.25">
      <c r="A5" s="5" t="s">
        <v>4</v>
      </c>
      <c r="B5" s="6" t="s">
        <v>50</v>
      </c>
      <c r="C5"/>
      <c r="D5"/>
      <c r="E5"/>
      <c r="F5"/>
    </row>
    <row r="6" ht="34.5" customHeight="1" spans="1:6" x14ac:dyDescent="0.25">
      <c r="A6" s="5" t="s">
        <v>5</v>
      </c>
      <c r="B6" s="6" t="s">
        <v>51</v>
      </c>
      <c r="C6"/>
      <c r="D6"/>
      <c r="E6"/>
      <c r="F6"/>
    </row>
    <row r="7" ht="23.25" customHeight="1" spans="1:6" x14ac:dyDescent="0.25">
      <c r="A7" s="5" t="s">
        <v>6</v>
      </c>
      <c r="B7" s="6" t="s">
        <v>11</v>
      </c>
      <c r="C7"/>
      <c r="D7"/>
      <c r="E7"/>
      <c r="F7"/>
    </row>
    <row r="8" ht="23.25" customHeight="1" spans="1:6" x14ac:dyDescent="0.25">
      <c r="A8" s="5" t="s">
        <v>7</v>
      </c>
      <c r="B8" s="6" t="s">
        <v>52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272</v>
      </c>
      <c r="D13" s="3" t="s">
        <v>273</v>
      </c>
      <c r="E13" s="3" t="s">
        <v>274</v>
      </c>
      <c r="F13" s="3" t="s">
        <v>275</v>
      </c>
      <c r="G13" s="3">
        <v>10</v>
      </c>
      <c r="H13" s="9"/>
      <c r="I13" s="9"/>
      <c r="J13" s="9"/>
      <c r="K13" s="4">
        <f t="shared" ref="K13:K18" si="0">IF(J13&lt;&gt;"",J13,IF(I13&lt;&gt;"",I13,IF(H13&lt;&gt;"",H13,"")))</f>
      </c>
      <c r="L13" s="10">
        <f t="shared" ref="L13:L18" si="1">IF(K13="","",G13*K13)</f>
      </c>
    </row>
    <row r="14" spans="1:12" x14ac:dyDescent="0.25">
      <c r="A14" s="3">
        <v>2</v>
      </c>
      <c r="B14" s="3" t="s">
        <v>105</v>
      </c>
      <c r="C14" s="3" t="s">
        <v>276</v>
      </c>
      <c r="D14" s="3" t="s">
        <v>277</v>
      </c>
      <c r="E14" s="3" t="s">
        <v>278</v>
      </c>
      <c r="F14" s="3" t="s">
        <v>279</v>
      </c>
      <c r="G14" s="3">
        <v>10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280</v>
      </c>
      <c r="D15" s="3" t="s">
        <v>281</v>
      </c>
      <c r="E15" s="3" t="s">
        <v>282</v>
      </c>
      <c r="F15" s="3" t="s">
        <v>113</v>
      </c>
      <c r="G15" s="3">
        <v>10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283</v>
      </c>
      <c r="D16" s="3" t="s">
        <v>284</v>
      </c>
      <c r="E16" s="3" t="s">
        <v>285</v>
      </c>
      <c r="F16" s="3" t="s">
        <v>130</v>
      </c>
      <c r="G16" s="3">
        <v>10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286</v>
      </c>
      <c r="D17" s="3" t="s">
        <v>287</v>
      </c>
      <c r="E17" s="3" t="s">
        <v>288</v>
      </c>
      <c r="F17" s="3" t="s">
        <v>121</v>
      </c>
      <c r="G17" s="3">
        <v>12</v>
      </c>
      <c r="H17" s="9"/>
      <c r="I17" s="9"/>
      <c r="J17" s="9"/>
      <c r="K17" s="4">
        <f t="shared" si="0"/>
      </c>
      <c r="L17" s="10">
        <f t="shared" si="1"/>
      </c>
    </row>
    <row r="18" spans="1:12" x14ac:dyDescent="0.25">
      <c r="A18" s="3">
        <v>6</v>
      </c>
      <c r="B18" s="3" t="s">
        <v>105</v>
      </c>
      <c r="C18" s="3" t="s">
        <v>289</v>
      </c>
      <c r="D18" s="3" t="s">
        <v>290</v>
      </c>
      <c r="E18" s="3" t="s">
        <v>291</v>
      </c>
      <c r="F18" s="3" t="s">
        <v>292</v>
      </c>
      <c r="G18" s="3">
        <v>8</v>
      </c>
      <c r="H18" s="9"/>
      <c r="I18" s="9"/>
      <c r="J18" s="9"/>
      <c r="K18" s="4">
        <f t="shared" si="0"/>
      </c>
      <c r="L18" s="10">
        <f t="shared" si="1"/>
      </c>
    </row>
    <row r="19" ht="15" customHeight="1" spans="1:12" x14ac:dyDescent="0.25">
      <c r="A19" s="7" t="s">
        <v>126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>
        <v>7</v>
      </c>
      <c r="B20" s="3" t="s">
        <v>127</v>
      </c>
      <c r="C20" s="3" t="s">
        <v>293</v>
      </c>
      <c r="D20" s="3" t="s">
        <v>294</v>
      </c>
      <c r="E20" s="3" t="s">
        <v>295</v>
      </c>
      <c r="F20" s="3" t="s">
        <v>296</v>
      </c>
      <c r="G20" s="3">
        <v>7</v>
      </c>
      <c r="H20" s="9"/>
      <c r="I20" s="9"/>
      <c r="J20" s="9"/>
      <c r="K20" s="4">
        <f t="shared" ref="K20:K23" si="2">IF(COUNT(H20:J20)=0,"",AVERAGE(H20:J20))</f>
      </c>
      <c r="L20" s="10">
        <f t="shared" ref="L20:L23" si="3">IF(K20="","",G20*K20)</f>
      </c>
    </row>
    <row r="21" ht="15.75" customHeight="1" spans="1:12" x14ac:dyDescent="0.25">
      <c r="A21" s="3">
        <v>8</v>
      </c>
      <c r="B21" s="3" t="s">
        <v>127</v>
      </c>
      <c r="C21" s="3" t="s">
        <v>297</v>
      </c>
      <c r="D21" s="3" t="s">
        <v>298</v>
      </c>
      <c r="E21" s="3" t="s">
        <v>299</v>
      </c>
      <c r="F21" s="3" t="s">
        <v>296</v>
      </c>
      <c r="G21" s="3">
        <v>6</v>
      </c>
      <c r="H21" s="9"/>
      <c r="I21" s="9"/>
      <c r="J21" s="9"/>
      <c r="K21" s="4">
        <f t="shared" si="2"/>
      </c>
      <c r="L21" s="10">
        <f t="shared" si="3"/>
      </c>
    </row>
    <row r="22" ht="15.75" customHeight="1" spans="1:12" x14ac:dyDescent="0.25">
      <c r="A22" s="3">
        <v>9</v>
      </c>
      <c r="B22" s="3" t="s">
        <v>127</v>
      </c>
      <c r="C22" s="3" t="s">
        <v>300</v>
      </c>
      <c r="D22" s="3" t="s">
        <v>301</v>
      </c>
      <c r="E22" s="3" t="s">
        <v>302</v>
      </c>
      <c r="F22" s="3" t="s">
        <v>130</v>
      </c>
      <c r="G22" s="3">
        <v>6</v>
      </c>
      <c r="H22" s="9"/>
      <c r="I22" s="9"/>
      <c r="J22" s="9"/>
      <c r="K22" s="4">
        <f t="shared" si="2"/>
      </c>
      <c r="L22" s="10">
        <f t="shared" si="3"/>
      </c>
    </row>
    <row r="23" ht="15.75" customHeight="1" spans="1:12" x14ac:dyDescent="0.25">
      <c r="A23" s="3">
        <v>10</v>
      </c>
      <c r="B23" s="3" t="s">
        <v>127</v>
      </c>
      <c r="C23" s="3" t="s">
        <v>303</v>
      </c>
      <c r="D23" s="3" t="s">
        <v>304</v>
      </c>
      <c r="E23" s="3" t="s">
        <v>305</v>
      </c>
      <c r="F23" s="3" t="s">
        <v>130</v>
      </c>
      <c r="G23" s="3">
        <v>6</v>
      </c>
      <c r="H23" s="9"/>
      <c r="I23" s="9"/>
      <c r="J23" s="9"/>
      <c r="K23" s="4">
        <f t="shared" si="2"/>
      </c>
      <c r="L23" s="10">
        <f t="shared" si="3"/>
      </c>
    </row>
    <row r="24" ht="15" customHeight="1" spans="1:12" x14ac:dyDescent="0.25">
      <c r="A24" s="7" t="s">
        <v>134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15.75" customHeight="1" spans="1:12" x14ac:dyDescent="0.25">
      <c r="A25" s="3">
        <v>11</v>
      </c>
      <c r="B25" s="3" t="s">
        <v>135</v>
      </c>
      <c r="C25" s="3" t="s">
        <v>172</v>
      </c>
      <c r="D25" s="3" t="s">
        <v>173</v>
      </c>
      <c r="E25" s="3" t="s">
        <v>124</v>
      </c>
      <c r="F25" s="3" t="s">
        <v>130</v>
      </c>
      <c r="G25" s="3">
        <v>10</v>
      </c>
      <c r="H25" s="9"/>
      <c r="I25" s="9"/>
      <c r="J25" s="9"/>
      <c r="K25" s="4">
        <f t="shared" ref="K25:K26" si="4">IF(COUNT(H25:J25)=0,"",AVERAGE(H25:J25))</f>
      </c>
      <c r="L25" s="10">
        <f t="shared" ref="L25:L26" si="5">IF(K25="","",G25*K25)</f>
      </c>
    </row>
    <row r="26" ht="15.75" customHeight="1" spans="1:12" x14ac:dyDescent="0.25">
      <c r="A26" s="3">
        <v>12</v>
      </c>
      <c r="B26" s="3" t="s">
        <v>135</v>
      </c>
      <c r="C26" s="3" t="s">
        <v>174</v>
      </c>
      <c r="D26" s="3" t="s">
        <v>175</v>
      </c>
      <c r="E26" s="3" t="s">
        <v>176</v>
      </c>
      <c r="F26" s="3" t="s">
        <v>130</v>
      </c>
      <c r="G26" s="3">
        <v>5</v>
      </c>
      <c r="H26" s="9"/>
      <c r="I26" s="9"/>
      <c r="J26" s="9"/>
      <c r="K26" s="4">
        <f t="shared" si="4"/>
      </c>
      <c r="L26" s="10">
        <f t="shared" si="5"/>
      </c>
    </row>
    <row r="27" ht="15.75" customHeight="1" x14ac:dyDescent="0.25"/>
    <row r="28" ht="15.75" customHeight="1" spans="10:12" x14ac:dyDescent="0.25">
      <c r="J28" s="5" t="s">
        <v>142</v>
      </c>
      <c r="L28" s="5">
        <f>SUM(G12:G26)</f>
        <v>100</v>
      </c>
    </row>
    <row r="29" ht="15.75" customHeight="1" spans="10:12" x14ac:dyDescent="0.25">
      <c r="J29" s="5" t="s">
        <v>8</v>
      </c>
      <c r="L29" s="11">
        <f>IFERROR(SUM(L12:L26)/SUMPRODUCT((K12:K26&lt;&gt;"")*G12:G26),"")</f>
      </c>
    </row>
    <row r="30" ht="15.75" customHeight="1" spans="10:12" x14ac:dyDescent="0.25">
      <c r="J30" s="5" t="s">
        <v>9</v>
      </c>
      <c r="L30" s="5">
        <f>IF(L29="","",IF(L29&gt;=0.9,"Exceeds",IF(L29&gt;=0.75,"Meets",IF(L29&gt;=0.5,"Partly meets","Below"))))</f>
      </c>
    </row>
    <row r="31" ht="15.75" customHeight="1" x14ac:dyDescent="0.25"/>
    <row r="32" ht="15.75" customHeight="1" spans="1:1" x14ac:dyDescent="0.25">
      <c r="A32" s="12" t="s">
        <v>143</v>
      </c>
    </row>
    <row r="33" ht="15.75" customHeight="1" spans="3:4" x14ac:dyDescent="0.25">
      <c r="C33" s="6" t="s">
        <v>306</v>
      </c>
      <c r="D33" s="6" t="s">
        <v>215</v>
      </c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9:L19"/>
    <mergeCell ref="A24:L24"/>
  </mergeCells>
  <dataValidations count="3">
    <dataValidation type="decimal" allowBlank="1" showInputMessage="1" prompt="Enter a score from 0 to 1" showErrorMessage="1" sqref="H13:J18">
      <formula1>0</formula1>
      <formula2>1</formula2>
    </dataValidation>
    <dataValidation type="decimal" allowBlank="1" showInputMessage="1" prompt="Enter a score from 0 to 1" showErrorMessage="1" sqref="H20:J23">
      <formula1>0</formula1>
      <formula2>1</formula2>
    </dataValidation>
    <dataValidation type="decimal" allowBlank="1" showInputMessage="1" prompt="Enter a score from 0 to 1" showErrorMessage="1" sqref="H25:J26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307</v>
      </c>
    </row>
    <row r="3" ht="23.25" customHeight="1" spans="1:6" x14ac:dyDescent="0.25">
      <c r="A3" s="5" t="s">
        <v>1</v>
      </c>
      <c r="B3" s="6" t="s">
        <v>53</v>
      </c>
      <c r="C3"/>
      <c r="D3"/>
      <c r="E3"/>
      <c r="F3"/>
    </row>
    <row r="4" ht="34.5" customHeight="1" spans="1:6" x14ac:dyDescent="0.25">
      <c r="A4" s="5" t="s">
        <v>3</v>
      </c>
      <c r="B4" s="6" t="s">
        <v>55</v>
      </c>
      <c r="C4"/>
      <c r="D4"/>
      <c r="E4"/>
      <c r="F4"/>
    </row>
    <row r="5" ht="23.25" customHeight="1" spans="1:6" x14ac:dyDescent="0.25">
      <c r="A5" s="5" t="s">
        <v>4</v>
      </c>
      <c r="B5" s="6" t="s">
        <v>39</v>
      </c>
      <c r="C5"/>
      <c r="D5"/>
      <c r="E5"/>
      <c r="F5"/>
    </row>
    <row r="6" ht="34.5" customHeight="1" spans="1:6" x14ac:dyDescent="0.25">
      <c r="A6" s="5" t="s">
        <v>5</v>
      </c>
      <c r="B6" s="6" t="s">
        <v>39</v>
      </c>
      <c r="C6"/>
      <c r="D6"/>
      <c r="E6"/>
      <c r="F6"/>
    </row>
    <row r="7" ht="23.25" customHeight="1" spans="1:6" x14ac:dyDescent="0.25">
      <c r="A7" s="5" t="s">
        <v>6</v>
      </c>
      <c r="B7" s="6" t="s">
        <v>45</v>
      </c>
      <c r="C7"/>
      <c r="D7"/>
      <c r="E7"/>
      <c r="F7"/>
    </row>
    <row r="8" ht="23.25" customHeight="1" spans="1:6" x14ac:dyDescent="0.25">
      <c r="A8" s="5" t="s">
        <v>7</v>
      </c>
      <c r="B8" s="6" t="s">
        <v>56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308</v>
      </c>
      <c r="D13" s="3" t="s">
        <v>309</v>
      </c>
      <c r="E13" s="3" t="s">
        <v>237</v>
      </c>
      <c r="F13" s="3" t="s">
        <v>121</v>
      </c>
      <c r="G13" s="3">
        <v>15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310</v>
      </c>
      <c r="D14" s="3" t="s">
        <v>311</v>
      </c>
      <c r="E14" s="3" t="s">
        <v>243</v>
      </c>
      <c r="F14" s="3" t="s">
        <v>121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312</v>
      </c>
      <c r="D15" s="3" t="s">
        <v>313</v>
      </c>
      <c r="E15" s="3" t="s">
        <v>246</v>
      </c>
      <c r="F15" s="3" t="s">
        <v>121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314</v>
      </c>
      <c r="D16" s="3" t="s">
        <v>315</v>
      </c>
      <c r="E16" s="3" t="s">
        <v>192</v>
      </c>
      <c r="F16" s="3" t="s">
        <v>121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249</v>
      </c>
      <c r="D18" s="3" t="s">
        <v>250</v>
      </c>
      <c r="E18" s="3" t="s">
        <v>251</v>
      </c>
      <c r="F18" s="3" t="s">
        <v>130</v>
      </c>
      <c r="G18" s="3">
        <v>10</v>
      </c>
      <c r="H18" s="9"/>
      <c r="I18" s="9"/>
      <c r="J18" s="9"/>
      <c r="K18" s="4">
        <f t="shared" ref="K18:K20" si="2">IF(COUNT(H18:J18)=0,"",AVERAGE(H18:J18))</f>
      </c>
      <c r="L18" s="10">
        <f t="shared" ref="L18:L20" si="3">IF(K18="","",G18*K18)</f>
      </c>
    </row>
    <row r="19" spans="1:12" x14ac:dyDescent="0.25">
      <c r="A19" s="3">
        <v>6</v>
      </c>
      <c r="B19" s="3" t="s">
        <v>127</v>
      </c>
      <c r="C19" s="3" t="s">
        <v>252</v>
      </c>
      <c r="D19" s="3" t="s">
        <v>253</v>
      </c>
      <c r="E19" s="3" t="s">
        <v>254</v>
      </c>
      <c r="F19" s="3" t="s">
        <v>130</v>
      </c>
      <c r="G19" s="3">
        <v>8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255</v>
      </c>
      <c r="D20" s="3" t="s">
        <v>256</v>
      </c>
      <c r="E20" s="3" t="s">
        <v>257</v>
      </c>
      <c r="F20" s="3" t="s">
        <v>258</v>
      </c>
      <c r="G20" s="3">
        <v>7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172</v>
      </c>
      <c r="D22" s="3" t="s">
        <v>173</v>
      </c>
      <c r="E22" s="3" t="s">
        <v>124</v>
      </c>
      <c r="F22" s="3" t="s">
        <v>130</v>
      </c>
      <c r="G22" s="3">
        <v>10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174</v>
      </c>
      <c r="D23" s="3" t="s">
        <v>175</v>
      </c>
      <c r="E23" s="3" t="s">
        <v>176</v>
      </c>
      <c r="F23" s="3" t="s">
        <v>130</v>
      </c>
      <c r="G23" s="3">
        <v>5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316</v>
      </c>
      <c r="D30" s="6" t="s">
        <v>260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1:L21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317</v>
      </c>
    </row>
    <row r="3" ht="23.25" customHeight="1" spans="1:6" x14ac:dyDescent="0.25">
      <c r="A3" s="5" t="s">
        <v>1</v>
      </c>
      <c r="B3" s="6" t="s">
        <v>57</v>
      </c>
      <c r="C3"/>
      <c r="D3"/>
      <c r="E3"/>
      <c r="F3"/>
    </row>
    <row r="4" ht="34.5" customHeight="1" spans="1:6" x14ac:dyDescent="0.25">
      <c r="A4" s="5" t="s">
        <v>3</v>
      </c>
      <c r="B4" s="6" t="s">
        <v>32</v>
      </c>
      <c r="C4"/>
      <c r="D4"/>
      <c r="E4"/>
      <c r="F4"/>
    </row>
    <row r="5" ht="23.25" customHeight="1" spans="1:6" x14ac:dyDescent="0.25">
      <c r="A5" s="5" t="s">
        <v>4</v>
      </c>
      <c r="B5" s="6" t="s">
        <v>59</v>
      </c>
      <c r="C5"/>
      <c r="D5"/>
      <c r="E5"/>
      <c r="F5"/>
    </row>
    <row r="6" ht="34.5" customHeight="1" spans="1:6" x14ac:dyDescent="0.25">
      <c r="A6" s="5" t="s">
        <v>5</v>
      </c>
      <c r="B6" s="6" t="s">
        <v>28</v>
      </c>
      <c r="C6"/>
      <c r="D6"/>
      <c r="E6"/>
      <c r="F6"/>
    </row>
    <row r="7" ht="23.25" customHeight="1" spans="1:6" x14ac:dyDescent="0.25">
      <c r="A7" s="5" t="s">
        <v>6</v>
      </c>
      <c r="B7" s="6" t="s">
        <v>25</v>
      </c>
      <c r="C7"/>
      <c r="D7"/>
      <c r="E7"/>
      <c r="F7"/>
    </row>
    <row r="8" ht="23.25" customHeight="1" spans="1:6" x14ac:dyDescent="0.25">
      <c r="A8" s="5" t="s">
        <v>7</v>
      </c>
      <c r="B8" s="6" t="s">
        <v>60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318</v>
      </c>
      <c r="D13" s="3" t="s">
        <v>319</v>
      </c>
      <c r="E13" s="3" t="s">
        <v>219</v>
      </c>
      <c r="F13" s="3" t="s">
        <v>220</v>
      </c>
      <c r="G13" s="3">
        <v>20</v>
      </c>
      <c r="H13" s="9"/>
      <c r="I13" s="9"/>
      <c r="J13" s="9"/>
      <c r="K13" s="4">
        <f t="shared" ref="K13:K15" si="0">IF(J13&lt;&gt;"",J13,IF(I13&lt;&gt;"",I13,IF(H13&lt;&gt;"",H13,"")))</f>
      </c>
      <c r="L13" s="10">
        <f t="shared" ref="L13:L15" si="1">IF(K13="","",G13*K13)</f>
      </c>
    </row>
    <row r="14" spans="1:12" x14ac:dyDescent="0.25">
      <c r="A14" s="3">
        <v>2</v>
      </c>
      <c r="B14" s="3" t="s">
        <v>105</v>
      </c>
      <c r="C14" s="3" t="s">
        <v>320</v>
      </c>
      <c r="D14" s="3" t="s">
        <v>321</v>
      </c>
      <c r="E14" s="3" t="s">
        <v>186</v>
      </c>
      <c r="F14" s="3" t="s">
        <v>121</v>
      </c>
      <c r="G14" s="3">
        <v>20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322</v>
      </c>
      <c r="D15" s="3" t="s">
        <v>323</v>
      </c>
      <c r="E15" s="3" t="s">
        <v>186</v>
      </c>
      <c r="F15" s="3" t="s">
        <v>225</v>
      </c>
      <c r="G15" s="3">
        <v>20</v>
      </c>
      <c r="H15" s="9"/>
      <c r="I15" s="9"/>
      <c r="J15" s="9"/>
      <c r="K15" s="4">
        <f t="shared" si="0"/>
      </c>
      <c r="L15" s="10">
        <f t="shared" si="1"/>
      </c>
    </row>
    <row r="16" ht="15" customHeight="1" spans="1:12" x14ac:dyDescent="0.25">
      <c r="A16" s="7" t="s">
        <v>126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25">
      <c r="A17" s="3">
        <v>4</v>
      </c>
      <c r="B17" s="3" t="s">
        <v>127</v>
      </c>
      <c r="C17" s="3" t="s">
        <v>193</v>
      </c>
      <c r="D17" s="3" t="s">
        <v>194</v>
      </c>
      <c r="E17" s="3" t="s">
        <v>195</v>
      </c>
      <c r="F17" s="3" t="s">
        <v>196</v>
      </c>
      <c r="G17" s="3">
        <v>8</v>
      </c>
      <c r="H17" s="9"/>
      <c r="I17" s="9"/>
      <c r="J17" s="9"/>
      <c r="K17" s="4">
        <f t="shared" ref="K17:K19" si="2">IF(COUNT(H17:J17)=0,"",AVERAGE(H17:J17))</f>
      </c>
      <c r="L17" s="10">
        <f t="shared" ref="L17:L19" si="3">IF(K17="","",G17*K17)</f>
      </c>
    </row>
    <row r="18" spans="1:12" x14ac:dyDescent="0.25">
      <c r="A18" s="3">
        <v>5</v>
      </c>
      <c r="B18" s="3" t="s">
        <v>127</v>
      </c>
      <c r="C18" s="3" t="s">
        <v>201</v>
      </c>
      <c r="D18" s="3" t="s">
        <v>202</v>
      </c>
      <c r="E18" s="3" t="s">
        <v>203</v>
      </c>
      <c r="F18" s="3" t="s">
        <v>130</v>
      </c>
      <c r="G18" s="3">
        <v>7</v>
      </c>
      <c r="H18" s="9"/>
      <c r="I18" s="9"/>
      <c r="J18" s="9"/>
      <c r="K18" s="4">
        <f t="shared" si="2"/>
      </c>
      <c r="L18" s="10">
        <f t="shared" si="3"/>
      </c>
    </row>
    <row r="19" spans="1:12" x14ac:dyDescent="0.25">
      <c r="A19" s="3">
        <v>6</v>
      </c>
      <c r="B19" s="3" t="s">
        <v>127</v>
      </c>
      <c r="C19" s="3" t="s">
        <v>229</v>
      </c>
      <c r="D19" s="3" t="s">
        <v>230</v>
      </c>
      <c r="E19" s="3" t="s">
        <v>231</v>
      </c>
      <c r="F19" s="3" t="s">
        <v>130</v>
      </c>
      <c r="G19" s="3">
        <v>10</v>
      </c>
      <c r="H19" s="9"/>
      <c r="I19" s="9"/>
      <c r="J19" s="9"/>
      <c r="K19" s="4">
        <f t="shared" si="2"/>
      </c>
      <c r="L19" s="10">
        <f t="shared" si="3"/>
      </c>
    </row>
    <row r="20" ht="15" customHeight="1" spans="1:12" x14ac:dyDescent="0.25">
      <c r="A20" s="7" t="s">
        <v>134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15.75" customHeight="1" spans="1:12" x14ac:dyDescent="0.25">
      <c r="A21" s="3">
        <v>7</v>
      </c>
      <c r="B21" s="3" t="s">
        <v>135</v>
      </c>
      <c r="C21" s="3" t="s">
        <v>172</v>
      </c>
      <c r="D21" s="3" t="s">
        <v>173</v>
      </c>
      <c r="E21" s="3" t="s">
        <v>124</v>
      </c>
      <c r="F21" s="3" t="s">
        <v>130</v>
      </c>
      <c r="G21" s="3">
        <v>10</v>
      </c>
      <c r="H21" s="9"/>
      <c r="I21" s="9"/>
      <c r="J21" s="9"/>
      <c r="K21" s="4">
        <f t="shared" ref="K21:K22" si="4">IF(COUNT(H21:J21)=0,"",AVERAGE(H21:J21))</f>
      </c>
      <c r="L21" s="10">
        <f t="shared" ref="L21:L22" si="5">IF(K21="","",G21*K21)</f>
      </c>
    </row>
    <row r="22" ht="15.75" customHeight="1" spans="1:12" x14ac:dyDescent="0.25">
      <c r="A22" s="3">
        <v>8</v>
      </c>
      <c r="B22" s="3" t="s">
        <v>135</v>
      </c>
      <c r="C22" s="3" t="s">
        <v>174</v>
      </c>
      <c r="D22" s="3" t="s">
        <v>175</v>
      </c>
      <c r="E22" s="3" t="s">
        <v>176</v>
      </c>
      <c r="F22" s="3" t="s">
        <v>130</v>
      </c>
      <c r="G22" s="3">
        <v>5</v>
      </c>
      <c r="H22" s="9"/>
      <c r="I22" s="9"/>
      <c r="J22" s="9"/>
      <c r="K22" s="4">
        <f t="shared" si="4"/>
      </c>
      <c r="L22" s="10">
        <f t="shared" si="5"/>
      </c>
    </row>
    <row r="23" ht="15.75" customHeight="1" x14ac:dyDescent="0.25"/>
    <row r="24" ht="15.75" customHeight="1" spans="10:12" x14ac:dyDescent="0.25">
      <c r="J24" s="5" t="s">
        <v>142</v>
      </c>
      <c r="L24" s="5">
        <f>SUM(G12:G22)</f>
        <v>100</v>
      </c>
    </row>
    <row r="25" ht="15.75" customHeight="1" spans="10:12" x14ac:dyDescent="0.25">
      <c r="J25" s="5" t="s">
        <v>8</v>
      </c>
      <c r="L25" s="11">
        <f>IFERROR(SUM(L12:L22)/SUMPRODUCT((K12:K22&lt;&gt;"")*G12:G22),"")</f>
      </c>
    </row>
    <row r="26" ht="15.75" customHeight="1" spans="10:12" x14ac:dyDescent="0.25">
      <c r="J26" s="5" t="s">
        <v>9</v>
      </c>
      <c r="L26" s="5">
        <f>IF(L25="","",IF(L25&gt;=0.9,"Exceeds",IF(L25&gt;=0.75,"Meets",IF(L25&gt;=0.5,"Partly meets","Below"))))</f>
      </c>
    </row>
    <row r="27" ht="15.75" customHeight="1" x14ac:dyDescent="0.25"/>
    <row r="28" ht="15.75" customHeight="1" spans="1:1" x14ac:dyDescent="0.25">
      <c r="A28" s="12" t="s">
        <v>143</v>
      </c>
    </row>
    <row r="29" ht="15.75" customHeight="1" spans="3:4" x14ac:dyDescent="0.25">
      <c r="C29" s="6" t="s">
        <v>324</v>
      </c>
      <c r="D29" s="6" t="s">
        <v>233</v>
      </c>
    </row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6:L16"/>
    <mergeCell ref="A20:L20"/>
  </mergeCells>
  <dataValidations count="3">
    <dataValidation type="decimal" allowBlank="1" showInputMessage="1" prompt="Enter a score from 0 to 1" showErrorMessage="1" sqref="H13:J15">
      <formula1>0</formula1>
      <formula2>1</formula2>
    </dataValidation>
    <dataValidation type="decimal" allowBlank="1" showInputMessage="1" prompt="Enter a score from 0 to 1" showErrorMessage="1" sqref="H17:J19">
      <formula1>0</formula1>
      <formula2>1</formula2>
    </dataValidation>
    <dataValidation type="decimal" allowBlank="1" showInputMessage="1" prompt="Enter a score from 0 to 1" showErrorMessage="1" sqref="H21:J22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325</v>
      </c>
    </row>
    <row r="3" ht="23.25" customHeight="1" spans="1:6" x14ac:dyDescent="0.25">
      <c r="A3" s="5" t="s">
        <v>1</v>
      </c>
      <c r="B3" s="6" t="s">
        <v>61</v>
      </c>
      <c r="C3"/>
      <c r="D3"/>
      <c r="E3"/>
      <c r="F3"/>
    </row>
    <row r="4" ht="34.5" customHeight="1" spans="1:6" x14ac:dyDescent="0.25">
      <c r="A4" s="5" t="s">
        <v>3</v>
      </c>
      <c r="B4" s="6" t="s">
        <v>63</v>
      </c>
      <c r="C4"/>
      <c r="D4"/>
      <c r="E4"/>
      <c r="F4"/>
    </row>
    <row r="5" ht="23.25" customHeight="1" spans="1:6" x14ac:dyDescent="0.25">
      <c r="A5" s="5" t="s">
        <v>4</v>
      </c>
      <c r="B5" s="6" t="s">
        <v>20</v>
      </c>
      <c r="C5"/>
      <c r="D5"/>
      <c r="E5"/>
      <c r="F5"/>
    </row>
    <row r="6" ht="34.5" customHeight="1" spans="1:6" x14ac:dyDescent="0.25">
      <c r="A6" s="5" t="s">
        <v>5</v>
      </c>
      <c r="B6" s="6" t="s">
        <v>21</v>
      </c>
      <c r="C6"/>
      <c r="D6"/>
      <c r="E6"/>
      <c r="F6"/>
    </row>
    <row r="7" ht="23.25" customHeight="1" spans="1:6" x14ac:dyDescent="0.25">
      <c r="A7" s="5" t="s">
        <v>6</v>
      </c>
      <c r="B7" s="6" t="s">
        <v>22</v>
      </c>
      <c r="C7"/>
      <c r="D7"/>
      <c r="E7"/>
      <c r="F7"/>
    </row>
    <row r="8" ht="23.25" customHeight="1" spans="1:6" x14ac:dyDescent="0.25">
      <c r="A8" s="5" t="s">
        <v>7</v>
      </c>
      <c r="B8" s="6" t="s">
        <v>64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147</v>
      </c>
      <c r="D13" s="3" t="s">
        <v>148</v>
      </c>
      <c r="E13" s="3" t="s">
        <v>149</v>
      </c>
      <c r="F13" s="3" t="s">
        <v>121</v>
      </c>
      <c r="G13" s="3">
        <v>10</v>
      </c>
      <c r="H13" s="9"/>
      <c r="I13" s="9"/>
      <c r="J13" s="9"/>
      <c r="K13" s="4">
        <f t="shared" ref="K13:K17" si="0">IF(J13&lt;&gt;"",J13,IF(I13&lt;&gt;"",I13,IF(H13&lt;&gt;"",H13,"")))</f>
      </c>
      <c r="L13" s="10">
        <f t="shared" ref="L13:L17" si="1">IF(K13="","",G13*K13)</f>
      </c>
    </row>
    <row r="14" spans="1:12" x14ac:dyDescent="0.25">
      <c r="A14" s="3">
        <v>2</v>
      </c>
      <c r="B14" s="3" t="s">
        <v>105</v>
      </c>
      <c r="C14" s="3" t="s">
        <v>326</v>
      </c>
      <c r="D14" s="3" t="s">
        <v>327</v>
      </c>
      <c r="E14" s="3" t="s">
        <v>328</v>
      </c>
      <c r="F14" s="3" t="s">
        <v>329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330</v>
      </c>
      <c r="D15" s="3" t="s">
        <v>331</v>
      </c>
      <c r="E15" s="3" t="s">
        <v>149</v>
      </c>
      <c r="F15" s="3" t="s">
        <v>332</v>
      </c>
      <c r="G15" s="3">
        <v>10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333</v>
      </c>
      <c r="D16" s="3" t="s">
        <v>334</v>
      </c>
      <c r="E16" s="3" t="s">
        <v>335</v>
      </c>
      <c r="F16" s="3" t="s">
        <v>125</v>
      </c>
      <c r="G16" s="3">
        <v>10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336</v>
      </c>
      <c r="D17" s="3" t="s">
        <v>337</v>
      </c>
      <c r="E17" s="3" t="s">
        <v>152</v>
      </c>
      <c r="F17" s="3" t="s">
        <v>279</v>
      </c>
      <c r="G17" s="3">
        <v>15</v>
      </c>
      <c r="H17" s="9"/>
      <c r="I17" s="9"/>
      <c r="J17" s="9"/>
      <c r="K17" s="4">
        <f t="shared" si="0"/>
      </c>
      <c r="L17" s="10">
        <f t="shared" si="1"/>
      </c>
    </row>
    <row r="18" ht="15" customHeight="1" spans="1:12" x14ac:dyDescent="0.25">
      <c r="A18" s="7" t="s">
        <v>126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3">
        <v>6</v>
      </c>
      <c r="B19" s="3" t="s">
        <v>127</v>
      </c>
      <c r="C19" s="3" t="s">
        <v>338</v>
      </c>
      <c r="D19" s="3" t="s">
        <v>339</v>
      </c>
      <c r="E19" s="3" t="s">
        <v>340</v>
      </c>
      <c r="F19" s="3" t="s">
        <v>341</v>
      </c>
      <c r="G19" s="3">
        <v>6</v>
      </c>
      <c r="H19" s="9"/>
      <c r="I19" s="9"/>
      <c r="J19" s="9"/>
      <c r="K19" s="4">
        <f t="shared" ref="K19:K23" si="2">IF(COUNT(H19:J19)=0,"",AVERAGE(H19:J19))</f>
      </c>
      <c r="L19" s="10">
        <f t="shared" ref="L19:L23" si="3">IF(K19="","",G19*K19)</f>
      </c>
    </row>
    <row r="20" spans="1:12" x14ac:dyDescent="0.25">
      <c r="A20" s="3">
        <v>7</v>
      </c>
      <c r="B20" s="3" t="s">
        <v>127</v>
      </c>
      <c r="C20" s="3" t="s">
        <v>342</v>
      </c>
      <c r="D20" s="3" t="s">
        <v>343</v>
      </c>
      <c r="E20" s="3" t="s">
        <v>344</v>
      </c>
      <c r="F20" s="3" t="s">
        <v>130</v>
      </c>
      <c r="G20" s="3">
        <v>6</v>
      </c>
      <c r="H20" s="9"/>
      <c r="I20" s="9"/>
      <c r="J20" s="9"/>
      <c r="K20" s="4">
        <f t="shared" si="2"/>
      </c>
      <c r="L20" s="10">
        <f t="shared" si="3"/>
      </c>
    </row>
    <row r="21" ht="15.75" customHeight="1" spans="1:12" x14ac:dyDescent="0.25">
      <c r="A21" s="3">
        <v>8</v>
      </c>
      <c r="B21" s="3" t="s">
        <v>127</v>
      </c>
      <c r="C21" s="3" t="s">
        <v>345</v>
      </c>
      <c r="D21" s="3" t="s">
        <v>346</v>
      </c>
      <c r="E21" s="3" t="s">
        <v>347</v>
      </c>
      <c r="F21" s="3" t="s">
        <v>130</v>
      </c>
      <c r="G21" s="3">
        <v>7</v>
      </c>
      <c r="H21" s="9"/>
      <c r="I21" s="9"/>
      <c r="J21" s="9"/>
      <c r="K21" s="4">
        <f t="shared" si="2"/>
      </c>
      <c r="L21" s="10">
        <f t="shared" si="3"/>
      </c>
    </row>
    <row r="22" ht="15.75" customHeight="1" spans="1:12" x14ac:dyDescent="0.25">
      <c r="A22" s="3">
        <v>9</v>
      </c>
      <c r="B22" s="3" t="s">
        <v>127</v>
      </c>
      <c r="C22" s="3" t="s">
        <v>348</v>
      </c>
      <c r="D22" s="3" t="s">
        <v>349</v>
      </c>
      <c r="E22" s="3" t="s">
        <v>350</v>
      </c>
      <c r="F22" s="3" t="s">
        <v>130</v>
      </c>
      <c r="G22" s="3">
        <v>3</v>
      </c>
      <c r="H22" s="9"/>
      <c r="I22" s="9"/>
      <c r="J22" s="9"/>
      <c r="K22" s="4">
        <f t="shared" si="2"/>
      </c>
      <c r="L22" s="10">
        <f t="shared" si="3"/>
      </c>
    </row>
    <row r="23" ht="15.75" customHeight="1" spans="1:12" x14ac:dyDescent="0.25">
      <c r="A23" s="3">
        <v>10</v>
      </c>
      <c r="B23" s="3" t="s">
        <v>127</v>
      </c>
      <c r="C23" s="3" t="s">
        <v>351</v>
      </c>
      <c r="D23" s="3" t="s">
        <v>352</v>
      </c>
      <c r="E23" s="3" t="s">
        <v>353</v>
      </c>
      <c r="F23" s="3" t="s">
        <v>130</v>
      </c>
      <c r="G23" s="3">
        <v>3</v>
      </c>
      <c r="H23" s="9"/>
      <c r="I23" s="9"/>
      <c r="J23" s="9"/>
      <c r="K23" s="4">
        <f t="shared" si="2"/>
      </c>
      <c r="L23" s="10">
        <f t="shared" si="3"/>
      </c>
    </row>
    <row r="24" ht="15" customHeight="1" spans="1:12" x14ac:dyDescent="0.25">
      <c r="A24" s="7" t="s">
        <v>134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15.75" customHeight="1" spans="1:12" x14ac:dyDescent="0.25">
      <c r="A25" s="3">
        <v>11</v>
      </c>
      <c r="B25" s="3" t="s">
        <v>135</v>
      </c>
      <c r="C25" s="3" t="s">
        <v>172</v>
      </c>
      <c r="D25" s="3" t="s">
        <v>173</v>
      </c>
      <c r="E25" s="3" t="s">
        <v>124</v>
      </c>
      <c r="F25" s="3" t="s">
        <v>130</v>
      </c>
      <c r="G25" s="3">
        <v>10</v>
      </c>
      <c r="H25" s="9"/>
      <c r="I25" s="9"/>
      <c r="J25" s="9"/>
      <c r="K25" s="4">
        <f t="shared" ref="K25:K26" si="4">IF(COUNT(H25:J25)=0,"",AVERAGE(H25:J25))</f>
      </c>
      <c r="L25" s="10">
        <f t="shared" ref="L25:L26" si="5">IF(K25="","",G25*K25)</f>
      </c>
    </row>
    <row r="26" ht="15.75" customHeight="1" spans="1:12" x14ac:dyDescent="0.25">
      <c r="A26" s="3">
        <v>12</v>
      </c>
      <c r="B26" s="3" t="s">
        <v>135</v>
      </c>
      <c r="C26" s="3" t="s">
        <v>174</v>
      </c>
      <c r="D26" s="3" t="s">
        <v>175</v>
      </c>
      <c r="E26" s="3" t="s">
        <v>176</v>
      </c>
      <c r="F26" s="3" t="s">
        <v>130</v>
      </c>
      <c r="G26" s="3">
        <v>5</v>
      </c>
      <c r="H26" s="9"/>
      <c r="I26" s="9"/>
      <c r="J26" s="9"/>
      <c r="K26" s="4">
        <f t="shared" si="4"/>
      </c>
      <c r="L26" s="10">
        <f t="shared" si="5"/>
      </c>
    </row>
    <row r="27" ht="15.75" customHeight="1" x14ac:dyDescent="0.25"/>
    <row r="28" ht="15.75" customHeight="1" spans="10:12" x14ac:dyDescent="0.25">
      <c r="J28" s="5" t="s">
        <v>142</v>
      </c>
      <c r="L28" s="5">
        <f>SUM(G12:G26)</f>
        <v>100</v>
      </c>
    </row>
    <row r="29" ht="15.75" customHeight="1" spans="10:12" x14ac:dyDescent="0.25">
      <c r="J29" s="5" t="s">
        <v>8</v>
      </c>
      <c r="L29" s="11">
        <f>IFERROR(SUM(L12:L26)/SUMPRODUCT((K12:K26&lt;&gt;"")*G12:G26),"")</f>
      </c>
    </row>
    <row r="30" ht="15.75" customHeight="1" spans="10:12" x14ac:dyDescent="0.25">
      <c r="J30" s="5" t="s">
        <v>9</v>
      </c>
      <c r="L30" s="5">
        <f>IF(L29="","",IF(L29&gt;=0.9,"Exceeds",IF(L29&gt;=0.75,"Meets",IF(L29&gt;=0.5,"Partly meets","Below"))))</f>
      </c>
    </row>
    <row r="31" ht="15.75" customHeight="1" x14ac:dyDescent="0.25"/>
    <row r="32" ht="15.75" customHeight="1" spans="1:1" x14ac:dyDescent="0.25">
      <c r="A32" s="12" t="s">
        <v>143</v>
      </c>
    </row>
    <row r="33" ht="15.75" customHeight="1" spans="3:4" x14ac:dyDescent="0.25">
      <c r="C33" s="6" t="s">
        <v>354</v>
      </c>
      <c r="D33" s="6" t="s">
        <v>178</v>
      </c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8:L18"/>
    <mergeCell ref="A24:L24"/>
  </mergeCells>
  <dataValidations count="3">
    <dataValidation type="decimal" allowBlank="1" showInputMessage="1" prompt="Enter a score from 0 to 1" showErrorMessage="1" sqref="H13:J17">
      <formula1>0</formula1>
      <formula2>1</formula2>
    </dataValidation>
    <dataValidation type="decimal" allowBlank="1" showInputMessage="1" prompt="Enter a score from 0 to 1" showErrorMessage="1" sqref="H19:J23">
      <formula1>0</formula1>
      <formula2>1</formula2>
    </dataValidation>
    <dataValidation type="decimal" allowBlank="1" showInputMessage="1" prompt="Enter a score from 0 to 1" showErrorMessage="1" sqref="H25:J26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355</v>
      </c>
    </row>
    <row r="3" ht="23.25" customHeight="1" spans="1:6" x14ac:dyDescent="0.25">
      <c r="A3" s="5" t="s">
        <v>1</v>
      </c>
      <c r="B3" s="6" t="s">
        <v>65</v>
      </c>
      <c r="C3"/>
      <c r="D3"/>
      <c r="E3"/>
      <c r="F3"/>
    </row>
    <row r="4" ht="34.5" customHeight="1" spans="1:6" x14ac:dyDescent="0.25">
      <c r="A4" s="5" t="s">
        <v>3</v>
      </c>
      <c r="B4" s="6" t="s">
        <v>66</v>
      </c>
      <c r="C4"/>
      <c r="D4"/>
      <c r="E4"/>
      <c r="F4"/>
    </row>
    <row r="5" ht="23.25" customHeight="1" spans="1:6" x14ac:dyDescent="0.25">
      <c r="A5" s="5" t="s">
        <v>4</v>
      </c>
      <c r="B5" s="6" t="s">
        <v>39</v>
      </c>
      <c r="C5"/>
      <c r="D5"/>
      <c r="E5"/>
      <c r="F5"/>
    </row>
    <row r="6" ht="34.5" customHeight="1" spans="1:6" x14ac:dyDescent="0.25">
      <c r="A6" s="5" t="s">
        <v>5</v>
      </c>
      <c r="B6" s="6" t="s">
        <v>39</v>
      </c>
      <c r="C6"/>
      <c r="D6"/>
      <c r="E6"/>
      <c r="F6"/>
    </row>
    <row r="7" ht="23.25" customHeight="1" spans="1:6" x14ac:dyDescent="0.25">
      <c r="A7" s="5" t="s">
        <v>6</v>
      </c>
      <c r="B7" s="6" t="s">
        <v>11</v>
      </c>
      <c r="C7"/>
      <c r="D7"/>
      <c r="E7"/>
      <c r="F7"/>
    </row>
    <row r="8" ht="23.25" customHeight="1" spans="1:6" x14ac:dyDescent="0.25">
      <c r="A8" s="5" t="s">
        <v>7</v>
      </c>
      <c r="B8" s="6" t="s">
        <v>67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356</v>
      </c>
      <c r="D13" s="3" t="s">
        <v>357</v>
      </c>
      <c r="E13" s="3" t="s">
        <v>237</v>
      </c>
      <c r="F13" s="3" t="s">
        <v>121</v>
      </c>
      <c r="G13" s="3">
        <v>12</v>
      </c>
      <c r="H13" s="9"/>
      <c r="I13" s="9"/>
      <c r="J13" s="9"/>
      <c r="K13" s="4">
        <f t="shared" ref="K13:K19" si="0">IF(J13&lt;&gt;"",J13,IF(I13&lt;&gt;"",I13,IF(H13&lt;&gt;"",H13,"")))</f>
      </c>
      <c r="L13" s="10">
        <f t="shared" ref="L13:L19" si="1">IF(K13="","",G13*K13)</f>
      </c>
    </row>
    <row r="14" spans="1:12" x14ac:dyDescent="0.25">
      <c r="A14" s="3">
        <v>2</v>
      </c>
      <c r="B14" s="3" t="s">
        <v>105</v>
      </c>
      <c r="C14" s="3" t="s">
        <v>358</v>
      </c>
      <c r="D14" s="3" t="s">
        <v>359</v>
      </c>
      <c r="E14" s="3" t="s">
        <v>360</v>
      </c>
      <c r="F14" s="3" t="s">
        <v>361</v>
      </c>
      <c r="G14" s="3">
        <v>12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362</v>
      </c>
      <c r="D15" s="3" t="s">
        <v>363</v>
      </c>
      <c r="E15" s="3" t="s">
        <v>240</v>
      </c>
      <c r="F15" s="3" t="s">
        <v>121</v>
      </c>
      <c r="G15" s="3">
        <v>8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364</v>
      </c>
      <c r="D16" s="3" t="s">
        <v>365</v>
      </c>
      <c r="E16" s="3" t="s">
        <v>366</v>
      </c>
      <c r="F16" s="3" t="s">
        <v>121</v>
      </c>
      <c r="G16" s="3">
        <v>12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367</v>
      </c>
      <c r="D17" s="3" t="s">
        <v>368</v>
      </c>
      <c r="E17" s="3" t="s">
        <v>369</v>
      </c>
      <c r="F17" s="3" t="s">
        <v>117</v>
      </c>
      <c r="G17" s="3">
        <v>8</v>
      </c>
      <c r="H17" s="9"/>
      <c r="I17" s="9"/>
      <c r="J17" s="9"/>
      <c r="K17" s="4">
        <f t="shared" si="0"/>
      </c>
      <c r="L17" s="10">
        <f t="shared" si="1"/>
      </c>
    </row>
    <row r="18" spans="1:12" x14ac:dyDescent="0.25">
      <c r="A18" s="3">
        <v>6</v>
      </c>
      <c r="B18" s="3" t="s">
        <v>105</v>
      </c>
      <c r="C18" s="3" t="s">
        <v>370</v>
      </c>
      <c r="D18" s="3" t="s">
        <v>371</v>
      </c>
      <c r="E18" s="3" t="s">
        <v>243</v>
      </c>
      <c r="F18" s="3" t="s">
        <v>121</v>
      </c>
      <c r="G18" s="3">
        <v>4</v>
      </c>
      <c r="H18" s="9"/>
      <c r="I18" s="9"/>
      <c r="J18" s="9"/>
      <c r="K18" s="4">
        <f t="shared" si="0"/>
      </c>
      <c r="L18" s="10">
        <f t="shared" si="1"/>
      </c>
    </row>
    <row r="19" spans="1:12" x14ac:dyDescent="0.25">
      <c r="A19" s="3">
        <v>7</v>
      </c>
      <c r="B19" s="3" t="s">
        <v>105</v>
      </c>
      <c r="C19" s="3" t="s">
        <v>372</v>
      </c>
      <c r="D19" s="3" t="s">
        <v>373</v>
      </c>
      <c r="E19" s="3" t="s">
        <v>246</v>
      </c>
      <c r="F19" s="3" t="s">
        <v>121</v>
      </c>
      <c r="G19" s="3">
        <v>4</v>
      </c>
      <c r="H19" s="9"/>
      <c r="I19" s="9"/>
      <c r="J19" s="9"/>
      <c r="K19" s="4">
        <f t="shared" si="0"/>
      </c>
      <c r="L19" s="10">
        <f t="shared" si="1"/>
      </c>
    </row>
    <row r="20" ht="15" customHeight="1" spans="1:12" x14ac:dyDescent="0.25">
      <c r="A20" s="7" t="s">
        <v>126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15.75" customHeight="1" spans="1:12" x14ac:dyDescent="0.25">
      <c r="A21" s="3">
        <v>8</v>
      </c>
      <c r="B21" s="3" t="s">
        <v>127</v>
      </c>
      <c r="C21" s="3" t="s">
        <v>374</v>
      </c>
      <c r="D21" s="3" t="s">
        <v>375</v>
      </c>
      <c r="E21" s="3" t="s">
        <v>376</v>
      </c>
      <c r="F21" s="3" t="s">
        <v>130</v>
      </c>
      <c r="G21" s="3">
        <v>7</v>
      </c>
      <c r="H21" s="9"/>
      <c r="I21" s="9"/>
      <c r="J21" s="9"/>
      <c r="K21" s="4">
        <f t="shared" ref="K21:K24" si="2">IF(COUNT(H21:J21)=0,"",AVERAGE(H21:J21))</f>
      </c>
      <c r="L21" s="10">
        <f t="shared" ref="L21:L24" si="3">IF(K21="","",G21*K21)</f>
      </c>
    </row>
    <row r="22" ht="15.75" customHeight="1" spans="1:12" x14ac:dyDescent="0.25">
      <c r="A22" s="3">
        <v>9</v>
      </c>
      <c r="B22" s="3" t="s">
        <v>127</v>
      </c>
      <c r="C22" s="3" t="s">
        <v>377</v>
      </c>
      <c r="D22" s="3" t="s">
        <v>378</v>
      </c>
      <c r="E22" s="3" t="s">
        <v>379</v>
      </c>
      <c r="F22" s="3" t="s">
        <v>130</v>
      </c>
      <c r="G22" s="3">
        <v>6</v>
      </c>
      <c r="H22" s="9"/>
      <c r="I22" s="9"/>
      <c r="J22" s="9"/>
      <c r="K22" s="4">
        <f t="shared" si="2"/>
      </c>
      <c r="L22" s="10">
        <f t="shared" si="3"/>
      </c>
    </row>
    <row r="23" ht="15.75" customHeight="1" spans="1:12" x14ac:dyDescent="0.25">
      <c r="A23" s="3">
        <v>10</v>
      </c>
      <c r="B23" s="3" t="s">
        <v>127</v>
      </c>
      <c r="C23" s="3" t="s">
        <v>380</v>
      </c>
      <c r="D23" s="3" t="s">
        <v>381</v>
      </c>
      <c r="E23" s="3" t="s">
        <v>382</v>
      </c>
      <c r="F23" s="3" t="s">
        <v>130</v>
      </c>
      <c r="G23" s="3">
        <v>6</v>
      </c>
      <c r="H23" s="9"/>
      <c r="I23" s="9"/>
      <c r="J23" s="9"/>
      <c r="K23" s="4">
        <f t="shared" si="2"/>
      </c>
      <c r="L23" s="10">
        <f t="shared" si="3"/>
      </c>
    </row>
    <row r="24" ht="15.75" customHeight="1" spans="1:12" x14ac:dyDescent="0.25">
      <c r="A24" s="3">
        <v>11</v>
      </c>
      <c r="B24" s="3" t="s">
        <v>127</v>
      </c>
      <c r="C24" s="3" t="s">
        <v>383</v>
      </c>
      <c r="D24" s="3" t="s">
        <v>384</v>
      </c>
      <c r="E24" s="3" t="s">
        <v>385</v>
      </c>
      <c r="F24" s="3" t="s">
        <v>386</v>
      </c>
      <c r="G24" s="3">
        <v>6</v>
      </c>
      <c r="H24" s="9"/>
      <c r="I24" s="9"/>
      <c r="J24" s="9"/>
      <c r="K24" s="4">
        <f t="shared" si="2"/>
      </c>
      <c r="L24" s="10">
        <f t="shared" si="3"/>
      </c>
    </row>
    <row r="25" ht="15" customHeight="1" spans="1:12" x14ac:dyDescent="0.25">
      <c r="A25" s="7" t="s">
        <v>134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ht="15.75" customHeight="1" spans="1:12" x14ac:dyDescent="0.25">
      <c r="A26" s="3">
        <v>12</v>
      </c>
      <c r="B26" s="3" t="s">
        <v>135</v>
      </c>
      <c r="C26" s="3" t="s">
        <v>172</v>
      </c>
      <c r="D26" s="3" t="s">
        <v>208</v>
      </c>
      <c r="E26" s="3" t="s">
        <v>124</v>
      </c>
      <c r="F26" s="3" t="s">
        <v>130</v>
      </c>
      <c r="G26" s="3">
        <v>8</v>
      </c>
      <c r="H26" s="9"/>
      <c r="I26" s="9"/>
      <c r="J26" s="9"/>
      <c r="K26" s="4">
        <f t="shared" ref="K26:K28" si="4">IF(COUNT(H26:J26)=0,"",AVERAGE(H26:J26))</f>
      </c>
      <c r="L26" s="10">
        <f t="shared" ref="L26:L28" si="5">IF(K26="","",G26*K26)</f>
      </c>
    </row>
    <row r="27" ht="15.75" customHeight="1" spans="1:12" x14ac:dyDescent="0.25">
      <c r="A27" s="3">
        <v>13</v>
      </c>
      <c r="B27" s="3" t="s">
        <v>135</v>
      </c>
      <c r="C27" s="3" t="s">
        <v>209</v>
      </c>
      <c r="D27" s="3" t="s">
        <v>210</v>
      </c>
      <c r="E27" s="3" t="s">
        <v>176</v>
      </c>
      <c r="F27" s="3" t="s">
        <v>130</v>
      </c>
      <c r="G27" s="3">
        <v>3</v>
      </c>
      <c r="H27" s="9"/>
      <c r="I27" s="9"/>
      <c r="J27" s="9"/>
      <c r="K27" s="4">
        <f t="shared" si="4"/>
      </c>
      <c r="L27" s="10">
        <f t="shared" si="5"/>
      </c>
    </row>
    <row r="28" ht="15.75" customHeight="1" spans="1:12" x14ac:dyDescent="0.25">
      <c r="A28" s="3">
        <v>14</v>
      </c>
      <c r="B28" s="3" t="s">
        <v>135</v>
      </c>
      <c r="C28" s="3" t="s">
        <v>211</v>
      </c>
      <c r="D28" s="3" t="s">
        <v>212</v>
      </c>
      <c r="E28" s="3" t="s">
        <v>213</v>
      </c>
      <c r="F28" s="3" t="s">
        <v>141</v>
      </c>
      <c r="G28" s="3">
        <v>4</v>
      </c>
      <c r="H28" s="9"/>
      <c r="I28" s="9"/>
      <c r="J28" s="9"/>
      <c r="K28" s="4">
        <f t="shared" si="4"/>
      </c>
      <c r="L28" s="10">
        <f t="shared" si="5"/>
      </c>
    </row>
    <row r="29" ht="15.75" customHeight="1" x14ac:dyDescent="0.25"/>
    <row r="30" ht="15.75" customHeight="1" spans="10:12" x14ac:dyDescent="0.25">
      <c r="J30" s="5" t="s">
        <v>142</v>
      </c>
      <c r="L30" s="5">
        <f>SUM(G12:G28)</f>
        <v>100</v>
      </c>
    </row>
    <row r="31" ht="15.75" customHeight="1" spans="10:12" x14ac:dyDescent="0.25">
      <c r="J31" s="5" t="s">
        <v>8</v>
      </c>
      <c r="L31" s="11">
        <f>IFERROR(SUM(L12:L28)/SUMPRODUCT((K12:K28&lt;&gt;"")*G12:G28),"")</f>
      </c>
    </row>
    <row r="32" ht="15.75" customHeight="1" spans="10:12" x14ac:dyDescent="0.25">
      <c r="J32" s="5" t="s">
        <v>9</v>
      </c>
      <c r="L32" s="5">
        <f>IF(L31="","",IF(L31&gt;=0.9,"Exceeds",IF(L31&gt;=0.75,"Meets",IF(L31&gt;=0.5,"Partly meets","Below"))))</f>
      </c>
    </row>
    <row r="33" ht="15.75" customHeight="1" x14ac:dyDescent="0.25"/>
    <row r="34" ht="15.75" customHeight="1" spans="1:1" x14ac:dyDescent="0.25">
      <c r="A34" s="12" t="s">
        <v>143</v>
      </c>
    </row>
    <row r="35" ht="15.75" customHeight="1" spans="3:4" x14ac:dyDescent="0.25">
      <c r="C35" s="6" t="s">
        <v>387</v>
      </c>
      <c r="D35" s="6" t="s">
        <v>215</v>
      </c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20:L20"/>
    <mergeCell ref="A25:L25"/>
  </mergeCells>
  <dataValidations count="3">
    <dataValidation type="decimal" allowBlank="1" showInputMessage="1" prompt="Enter a score from 0 to 1" showErrorMessage="1" sqref="H13:J19">
      <formula1>0</formula1>
      <formula2>1</formula2>
    </dataValidation>
    <dataValidation type="decimal" allowBlank="1" showInputMessage="1" prompt="Enter a score from 0 to 1" showErrorMessage="1" sqref="H21:J24">
      <formula1>0</formula1>
      <formula2>1</formula2>
    </dataValidation>
    <dataValidation type="decimal" allowBlank="1" showInputMessage="1" prompt="Enter a score from 0 to 1" showErrorMessage="1" sqref="H26:J28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388</v>
      </c>
    </row>
    <row r="3" ht="23.25" customHeight="1" spans="1:6" x14ac:dyDescent="0.25">
      <c r="A3" s="5" t="s">
        <v>1</v>
      </c>
      <c r="B3" s="6" t="s">
        <v>68</v>
      </c>
      <c r="C3"/>
      <c r="D3"/>
      <c r="E3"/>
      <c r="F3"/>
    </row>
    <row r="4" ht="34.5" customHeight="1" spans="1:6" x14ac:dyDescent="0.25">
      <c r="A4" s="5" t="s">
        <v>3</v>
      </c>
      <c r="B4" s="6" t="s">
        <v>70</v>
      </c>
      <c r="C4"/>
      <c r="D4"/>
      <c r="E4"/>
      <c r="F4"/>
    </row>
    <row r="5" ht="23.25" customHeight="1" spans="1:6" x14ac:dyDescent="0.25">
      <c r="A5" s="5" t="s">
        <v>4</v>
      </c>
      <c r="B5" s="6" t="s">
        <v>71</v>
      </c>
      <c r="C5"/>
      <c r="D5"/>
      <c r="E5"/>
      <c r="F5"/>
    </row>
    <row r="6" ht="34.5" customHeight="1" spans="1:6" x14ac:dyDescent="0.25">
      <c r="A6" s="5" t="s">
        <v>5</v>
      </c>
      <c r="B6" s="6" t="s">
        <v>71</v>
      </c>
      <c r="C6"/>
      <c r="D6"/>
      <c r="E6"/>
      <c r="F6"/>
    </row>
    <row r="7" ht="23.25" customHeight="1" spans="1:6" x14ac:dyDescent="0.25">
      <c r="A7" s="5" t="s">
        <v>6</v>
      </c>
      <c r="B7" s="6" t="s">
        <v>11</v>
      </c>
      <c r="C7"/>
      <c r="D7"/>
      <c r="E7"/>
      <c r="F7"/>
    </row>
    <row r="8" ht="23.25" customHeight="1" spans="1:6" x14ac:dyDescent="0.25">
      <c r="A8" s="5" t="s">
        <v>7</v>
      </c>
      <c r="B8" s="6" t="s">
        <v>72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389</v>
      </c>
      <c r="D13" s="3" t="s">
        <v>390</v>
      </c>
      <c r="E13" s="3" t="s">
        <v>391</v>
      </c>
      <c r="F13" s="3" t="s">
        <v>392</v>
      </c>
      <c r="G13" s="3">
        <v>10</v>
      </c>
      <c r="H13" s="9"/>
      <c r="I13" s="9"/>
      <c r="J13" s="9"/>
      <c r="K13" s="4">
        <f t="shared" ref="K13:K19" si="0">IF(J13&lt;&gt;"",J13,IF(I13&lt;&gt;"",I13,IF(H13&lt;&gt;"",H13,"")))</f>
      </c>
      <c r="L13" s="10">
        <f t="shared" ref="L13:L19" si="1">IF(K13="","",G13*K13)</f>
      </c>
    </row>
    <row r="14" spans="1:12" x14ac:dyDescent="0.25">
      <c r="A14" s="3">
        <v>2</v>
      </c>
      <c r="B14" s="3" t="s">
        <v>105</v>
      </c>
      <c r="C14" s="3" t="s">
        <v>393</v>
      </c>
      <c r="D14" s="3" t="s">
        <v>394</v>
      </c>
      <c r="E14" s="3" t="s">
        <v>395</v>
      </c>
      <c r="F14" s="3" t="s">
        <v>121</v>
      </c>
      <c r="G14" s="3">
        <v>10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396</v>
      </c>
      <c r="D15" s="3" t="s">
        <v>397</v>
      </c>
      <c r="E15" s="3" t="s">
        <v>398</v>
      </c>
      <c r="F15" s="3" t="s">
        <v>121</v>
      </c>
      <c r="G15" s="3">
        <v>10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399</v>
      </c>
      <c r="D16" s="3" t="s">
        <v>400</v>
      </c>
      <c r="E16" s="3" t="s">
        <v>401</v>
      </c>
      <c r="F16" s="3" t="s">
        <v>161</v>
      </c>
      <c r="G16" s="3">
        <v>8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402</v>
      </c>
      <c r="D17" s="3" t="s">
        <v>403</v>
      </c>
      <c r="E17" s="3" t="s">
        <v>404</v>
      </c>
      <c r="F17" s="3" t="s">
        <v>225</v>
      </c>
      <c r="G17" s="3">
        <v>8</v>
      </c>
      <c r="H17" s="9"/>
      <c r="I17" s="9"/>
      <c r="J17" s="9"/>
      <c r="K17" s="4">
        <f t="shared" si="0"/>
      </c>
      <c r="L17" s="10">
        <f t="shared" si="1"/>
      </c>
    </row>
    <row r="18" spans="1:12" x14ac:dyDescent="0.25">
      <c r="A18" s="3">
        <v>6</v>
      </c>
      <c r="B18" s="3" t="s">
        <v>105</v>
      </c>
      <c r="C18" s="3" t="s">
        <v>405</v>
      </c>
      <c r="D18" s="3" t="s">
        <v>406</v>
      </c>
      <c r="E18" s="3" t="s">
        <v>407</v>
      </c>
      <c r="F18" s="3" t="s">
        <v>113</v>
      </c>
      <c r="G18" s="3">
        <v>6</v>
      </c>
      <c r="H18" s="9"/>
      <c r="I18" s="9"/>
      <c r="J18" s="9"/>
      <c r="K18" s="4">
        <f t="shared" si="0"/>
      </c>
      <c r="L18" s="10">
        <f t="shared" si="1"/>
      </c>
    </row>
    <row r="19" spans="1:12" x14ac:dyDescent="0.25">
      <c r="A19" s="3">
        <v>7</v>
      </c>
      <c r="B19" s="3" t="s">
        <v>105</v>
      </c>
      <c r="C19" s="3" t="s">
        <v>408</v>
      </c>
      <c r="D19" s="3" t="s">
        <v>409</v>
      </c>
      <c r="E19" s="3" t="s">
        <v>410</v>
      </c>
      <c r="F19" s="3" t="s">
        <v>121</v>
      </c>
      <c r="G19" s="3">
        <v>8</v>
      </c>
      <c r="H19" s="9"/>
      <c r="I19" s="9"/>
      <c r="J19" s="9"/>
      <c r="K19" s="4">
        <f t="shared" si="0"/>
      </c>
      <c r="L19" s="10">
        <f t="shared" si="1"/>
      </c>
    </row>
    <row r="20" ht="15" customHeight="1" spans="1:12" x14ac:dyDescent="0.25">
      <c r="A20" s="7" t="s">
        <v>126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ht="15.75" customHeight="1" spans="1:12" x14ac:dyDescent="0.25">
      <c r="A21" s="3">
        <v>8</v>
      </c>
      <c r="B21" s="3" t="s">
        <v>127</v>
      </c>
      <c r="C21" s="3" t="s">
        <v>411</v>
      </c>
      <c r="D21" s="3" t="s">
        <v>412</v>
      </c>
      <c r="E21" s="3" t="s">
        <v>413</v>
      </c>
      <c r="F21" s="3" t="s">
        <v>130</v>
      </c>
      <c r="G21" s="3">
        <v>7</v>
      </c>
      <c r="H21" s="9"/>
      <c r="I21" s="9"/>
      <c r="J21" s="9"/>
      <c r="K21" s="4">
        <f t="shared" ref="K21:K24" si="2">IF(COUNT(H21:J21)=0,"",AVERAGE(H21:J21))</f>
      </c>
      <c r="L21" s="10">
        <f t="shared" ref="L21:L24" si="3">IF(K21="","",G21*K21)</f>
      </c>
    </row>
    <row r="22" ht="15.75" customHeight="1" spans="1:12" x14ac:dyDescent="0.25">
      <c r="A22" s="3">
        <v>9</v>
      </c>
      <c r="B22" s="3" t="s">
        <v>127</v>
      </c>
      <c r="C22" s="3" t="s">
        <v>414</v>
      </c>
      <c r="D22" s="3" t="s">
        <v>415</v>
      </c>
      <c r="E22" s="3" t="s">
        <v>416</v>
      </c>
      <c r="F22" s="3" t="s">
        <v>130</v>
      </c>
      <c r="G22" s="3">
        <v>6</v>
      </c>
      <c r="H22" s="9"/>
      <c r="I22" s="9"/>
      <c r="J22" s="9"/>
      <c r="K22" s="4">
        <f t="shared" si="2"/>
      </c>
      <c r="L22" s="10">
        <f t="shared" si="3"/>
      </c>
    </row>
    <row r="23" ht="15.75" customHeight="1" spans="1:12" x14ac:dyDescent="0.25">
      <c r="A23" s="3">
        <v>10</v>
      </c>
      <c r="B23" s="3" t="s">
        <v>127</v>
      </c>
      <c r="C23" s="3" t="s">
        <v>417</v>
      </c>
      <c r="D23" s="3" t="s">
        <v>418</v>
      </c>
      <c r="E23" s="3" t="s">
        <v>419</v>
      </c>
      <c r="F23" s="3" t="s">
        <v>420</v>
      </c>
      <c r="G23" s="3">
        <v>6</v>
      </c>
      <c r="H23" s="9"/>
      <c r="I23" s="9"/>
      <c r="J23" s="9"/>
      <c r="K23" s="4">
        <f t="shared" si="2"/>
      </c>
      <c r="L23" s="10">
        <f t="shared" si="3"/>
      </c>
    </row>
    <row r="24" ht="15.75" customHeight="1" spans="1:12" x14ac:dyDescent="0.25">
      <c r="A24" s="3">
        <v>11</v>
      </c>
      <c r="B24" s="3" t="s">
        <v>127</v>
      </c>
      <c r="C24" s="3" t="s">
        <v>421</v>
      </c>
      <c r="D24" s="3" t="s">
        <v>422</v>
      </c>
      <c r="E24" s="3" t="s">
        <v>423</v>
      </c>
      <c r="F24" s="3" t="s">
        <v>207</v>
      </c>
      <c r="G24" s="3">
        <v>6</v>
      </c>
      <c r="H24" s="9"/>
      <c r="I24" s="9"/>
      <c r="J24" s="9"/>
      <c r="K24" s="4">
        <f t="shared" si="2"/>
      </c>
      <c r="L24" s="10">
        <f t="shared" si="3"/>
      </c>
    </row>
    <row r="25" ht="15" customHeight="1" spans="1:12" x14ac:dyDescent="0.25">
      <c r="A25" s="7" t="s">
        <v>134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ht="15.75" customHeight="1" spans="1:12" x14ac:dyDescent="0.25">
      <c r="A26" s="3">
        <v>12</v>
      </c>
      <c r="B26" s="3" t="s">
        <v>135</v>
      </c>
      <c r="C26" s="3" t="s">
        <v>172</v>
      </c>
      <c r="D26" s="3" t="s">
        <v>173</v>
      </c>
      <c r="E26" s="3" t="s">
        <v>124</v>
      </c>
      <c r="F26" s="3" t="s">
        <v>130</v>
      </c>
      <c r="G26" s="3">
        <v>10</v>
      </c>
      <c r="H26" s="9"/>
      <c r="I26" s="9"/>
      <c r="J26" s="9"/>
      <c r="K26" s="4">
        <f t="shared" ref="K26:K27" si="4">IF(COUNT(H26:J26)=0,"",AVERAGE(H26:J26))</f>
      </c>
      <c r="L26" s="10">
        <f t="shared" ref="L26:L27" si="5">IF(K26="","",G26*K26)</f>
      </c>
    </row>
    <row r="27" ht="15.75" customHeight="1" spans="1:12" x14ac:dyDescent="0.25">
      <c r="A27" s="3">
        <v>13</v>
      </c>
      <c r="B27" s="3" t="s">
        <v>135</v>
      </c>
      <c r="C27" s="3" t="s">
        <v>174</v>
      </c>
      <c r="D27" s="3" t="s">
        <v>175</v>
      </c>
      <c r="E27" s="3" t="s">
        <v>176</v>
      </c>
      <c r="F27" s="3" t="s">
        <v>130</v>
      </c>
      <c r="G27" s="3">
        <v>5</v>
      </c>
      <c r="H27" s="9"/>
      <c r="I27" s="9"/>
      <c r="J27" s="9"/>
      <c r="K27" s="4">
        <f t="shared" si="4"/>
      </c>
      <c r="L27" s="10">
        <f t="shared" si="5"/>
      </c>
    </row>
    <row r="28" ht="15.75" customHeight="1" x14ac:dyDescent="0.25"/>
    <row r="29" ht="15.75" customHeight="1" spans="10:12" x14ac:dyDescent="0.25">
      <c r="J29" s="5" t="s">
        <v>142</v>
      </c>
      <c r="L29" s="5">
        <f>SUM(G12:G27)</f>
        <v>100</v>
      </c>
    </row>
    <row r="30" ht="15.75" customHeight="1" spans="10:12" x14ac:dyDescent="0.25">
      <c r="J30" s="5" t="s">
        <v>8</v>
      </c>
      <c r="L30" s="11">
        <f>IFERROR(SUM(L12:L27)/SUMPRODUCT((K12:K27&lt;&gt;"")*G12:G27),"")</f>
      </c>
    </row>
    <row r="31" ht="15.75" customHeight="1" spans="10:12" x14ac:dyDescent="0.25">
      <c r="J31" s="5" t="s">
        <v>9</v>
      </c>
      <c r="L31" s="5">
        <f>IF(L30="","",IF(L30&gt;=0.9,"Exceeds",IF(L30&gt;=0.75,"Meets",IF(L30&gt;=0.5,"Partly meets","Below"))))</f>
      </c>
    </row>
    <row r="32" ht="15.75" customHeight="1" x14ac:dyDescent="0.25"/>
    <row r="33" ht="15.75" customHeight="1" spans="1:1" x14ac:dyDescent="0.25">
      <c r="A33" s="12" t="s">
        <v>143</v>
      </c>
    </row>
    <row r="34" ht="15.75" customHeight="1" spans="3:4" x14ac:dyDescent="0.25">
      <c r="C34" s="6" t="s">
        <v>424</v>
      </c>
      <c r="D34" s="6" t="s">
        <v>215</v>
      </c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20:L20"/>
    <mergeCell ref="A25:L25"/>
  </mergeCells>
  <dataValidations count="3">
    <dataValidation type="decimal" allowBlank="1" showInputMessage="1" prompt="Enter a score from 0 to 1" showErrorMessage="1" sqref="H13:J19">
      <formula1>0</formula1>
      <formula2>1</formula2>
    </dataValidation>
    <dataValidation type="decimal" allowBlank="1" showInputMessage="1" prompt="Enter a score from 0 to 1" showErrorMessage="1" sqref="H21:J24">
      <formula1>0</formula1>
      <formula2>1</formula2>
    </dataValidation>
    <dataValidation type="decimal" allowBlank="1" showInputMessage="1" prompt="Enter a score from 0 to 1" showErrorMessage="1" sqref="H26:J27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425</v>
      </c>
    </row>
    <row r="3" ht="23.25" customHeight="1" spans="1:6" x14ac:dyDescent="0.25">
      <c r="A3" s="5" t="s">
        <v>1</v>
      </c>
      <c r="B3" s="6" t="s">
        <v>73</v>
      </c>
      <c r="C3"/>
      <c r="D3"/>
      <c r="E3"/>
      <c r="F3"/>
    </row>
    <row r="4" ht="34.5" customHeight="1" spans="1:6" x14ac:dyDescent="0.25">
      <c r="A4" s="5" t="s">
        <v>3</v>
      </c>
      <c r="B4" s="6" t="s">
        <v>75</v>
      </c>
      <c r="C4"/>
      <c r="D4"/>
      <c r="E4"/>
      <c r="F4"/>
    </row>
    <row r="5" ht="23.25" customHeight="1" spans="1:6" x14ac:dyDescent="0.25">
      <c r="A5" s="5" t="s">
        <v>4</v>
      </c>
      <c r="B5" s="6" t="s">
        <v>39</v>
      </c>
      <c r="C5"/>
      <c r="D5"/>
      <c r="E5"/>
      <c r="F5"/>
    </row>
    <row r="6" ht="34.5" customHeight="1" spans="1:6" x14ac:dyDescent="0.25">
      <c r="A6" s="5" t="s">
        <v>5</v>
      </c>
      <c r="B6" s="6" t="s">
        <v>39</v>
      </c>
      <c r="C6"/>
      <c r="D6"/>
      <c r="E6"/>
      <c r="F6"/>
    </row>
    <row r="7" ht="23.25" customHeight="1" spans="1:6" x14ac:dyDescent="0.25">
      <c r="A7" s="5" t="s">
        <v>6</v>
      </c>
      <c r="B7" s="6" t="s">
        <v>45</v>
      </c>
      <c r="C7"/>
      <c r="D7"/>
      <c r="E7"/>
      <c r="F7"/>
    </row>
    <row r="8" ht="23.25" customHeight="1" spans="1:6" x14ac:dyDescent="0.25">
      <c r="A8" s="5" t="s">
        <v>7</v>
      </c>
      <c r="B8" s="6" t="s">
        <v>76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426</v>
      </c>
      <c r="D13" s="3" t="s">
        <v>427</v>
      </c>
      <c r="E13" s="3" t="s">
        <v>237</v>
      </c>
      <c r="F13" s="3" t="s">
        <v>121</v>
      </c>
      <c r="G13" s="3">
        <v>15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428</v>
      </c>
      <c r="D14" s="3" t="s">
        <v>429</v>
      </c>
      <c r="E14" s="3" t="s">
        <v>243</v>
      </c>
      <c r="F14" s="3" t="s">
        <v>121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430</v>
      </c>
      <c r="D15" s="3" t="s">
        <v>431</v>
      </c>
      <c r="E15" s="3" t="s">
        <v>246</v>
      </c>
      <c r="F15" s="3" t="s">
        <v>121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432</v>
      </c>
      <c r="D16" s="3" t="s">
        <v>433</v>
      </c>
      <c r="E16" s="3" t="s">
        <v>192</v>
      </c>
      <c r="F16" s="3" t="s">
        <v>121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249</v>
      </c>
      <c r="D18" s="3" t="s">
        <v>250</v>
      </c>
      <c r="E18" s="3" t="s">
        <v>251</v>
      </c>
      <c r="F18" s="3" t="s">
        <v>130</v>
      </c>
      <c r="G18" s="3">
        <v>10</v>
      </c>
      <c r="H18" s="9"/>
      <c r="I18" s="9"/>
      <c r="J18" s="9"/>
      <c r="K18" s="4">
        <f t="shared" ref="K18:K20" si="2">IF(COUNT(H18:J18)=0,"",AVERAGE(H18:J18))</f>
      </c>
      <c r="L18" s="10">
        <f t="shared" ref="L18:L20" si="3">IF(K18="","",G18*K18)</f>
      </c>
    </row>
    <row r="19" spans="1:12" x14ac:dyDescent="0.25">
      <c r="A19" s="3">
        <v>6</v>
      </c>
      <c r="B19" s="3" t="s">
        <v>127</v>
      </c>
      <c r="C19" s="3" t="s">
        <v>252</v>
      </c>
      <c r="D19" s="3" t="s">
        <v>253</v>
      </c>
      <c r="E19" s="3" t="s">
        <v>254</v>
      </c>
      <c r="F19" s="3" t="s">
        <v>130</v>
      </c>
      <c r="G19" s="3">
        <v>8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255</v>
      </c>
      <c r="D20" s="3" t="s">
        <v>256</v>
      </c>
      <c r="E20" s="3" t="s">
        <v>257</v>
      </c>
      <c r="F20" s="3" t="s">
        <v>258</v>
      </c>
      <c r="G20" s="3">
        <v>7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172</v>
      </c>
      <c r="D22" s="3" t="s">
        <v>173</v>
      </c>
      <c r="E22" s="3" t="s">
        <v>124</v>
      </c>
      <c r="F22" s="3" t="s">
        <v>130</v>
      </c>
      <c r="G22" s="3">
        <v>10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174</v>
      </c>
      <c r="D23" s="3" t="s">
        <v>175</v>
      </c>
      <c r="E23" s="3" t="s">
        <v>176</v>
      </c>
      <c r="F23" s="3" t="s">
        <v>130</v>
      </c>
      <c r="G23" s="3">
        <v>5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434</v>
      </c>
      <c r="D30" s="6" t="s">
        <v>260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1:L21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435</v>
      </c>
    </row>
    <row r="3" ht="23.25" customHeight="1" spans="1:6" x14ac:dyDescent="0.25">
      <c r="A3" s="5" t="s">
        <v>1</v>
      </c>
      <c r="B3" s="6" t="s">
        <v>77</v>
      </c>
      <c r="C3"/>
      <c r="D3"/>
      <c r="E3"/>
      <c r="F3"/>
    </row>
    <row r="4" ht="34.5" customHeight="1" spans="1:6" x14ac:dyDescent="0.25">
      <c r="A4" s="5" t="s">
        <v>3</v>
      </c>
      <c r="B4" s="6" t="s">
        <v>79</v>
      </c>
      <c r="C4"/>
      <c r="D4"/>
      <c r="E4"/>
      <c r="F4"/>
    </row>
    <row r="5" ht="23.25" customHeight="1" spans="1:6" x14ac:dyDescent="0.25">
      <c r="A5" s="5" t="s">
        <v>4</v>
      </c>
      <c r="B5" s="6" t="s">
        <v>39</v>
      </c>
      <c r="C5"/>
      <c r="D5"/>
      <c r="E5"/>
      <c r="F5"/>
    </row>
    <row r="6" ht="34.5" customHeight="1" spans="1:6" x14ac:dyDescent="0.25">
      <c r="A6" s="5" t="s">
        <v>5</v>
      </c>
      <c r="B6" s="6" t="s">
        <v>39</v>
      </c>
      <c r="C6"/>
      <c r="D6"/>
      <c r="E6"/>
      <c r="F6"/>
    </row>
    <row r="7" ht="23.25" customHeight="1" spans="1:6" x14ac:dyDescent="0.25">
      <c r="A7" s="5" t="s">
        <v>6</v>
      </c>
      <c r="B7" s="6" t="s">
        <v>45</v>
      </c>
      <c r="C7"/>
      <c r="D7"/>
      <c r="E7"/>
      <c r="F7"/>
    </row>
    <row r="8" ht="23.25" customHeight="1" spans="1:6" x14ac:dyDescent="0.25">
      <c r="A8" s="5" t="s">
        <v>7</v>
      </c>
      <c r="B8" s="6" t="s">
        <v>80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436</v>
      </c>
      <c r="D13" s="3" t="s">
        <v>437</v>
      </c>
      <c r="E13" s="3" t="s">
        <v>237</v>
      </c>
      <c r="F13" s="3" t="s">
        <v>121</v>
      </c>
      <c r="G13" s="3">
        <v>15</v>
      </c>
      <c r="H13" s="9"/>
      <c r="I13" s="9"/>
      <c r="J13" s="9"/>
      <c r="K13" s="4">
        <f t="shared" ref="K13:K16" si="0">IF(J13&lt;&gt;"",J13,IF(I13&lt;&gt;"",I13,IF(H13&lt;&gt;"",H13,"")))</f>
      </c>
      <c r="L13" s="10">
        <f t="shared" ref="L13:L16" si="1">IF(K13="","",G13*K13)</f>
      </c>
    </row>
    <row r="14" spans="1:12" x14ac:dyDescent="0.25">
      <c r="A14" s="3">
        <v>2</v>
      </c>
      <c r="B14" s="3" t="s">
        <v>105</v>
      </c>
      <c r="C14" s="3" t="s">
        <v>438</v>
      </c>
      <c r="D14" s="3" t="s">
        <v>429</v>
      </c>
      <c r="E14" s="3" t="s">
        <v>243</v>
      </c>
      <c r="F14" s="3" t="s">
        <v>121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439</v>
      </c>
      <c r="D15" s="3" t="s">
        <v>440</v>
      </c>
      <c r="E15" s="3" t="s">
        <v>246</v>
      </c>
      <c r="F15" s="3" t="s">
        <v>121</v>
      </c>
      <c r="G15" s="3">
        <v>15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441</v>
      </c>
      <c r="D16" s="3" t="s">
        <v>442</v>
      </c>
      <c r="E16" s="3" t="s">
        <v>192</v>
      </c>
      <c r="F16" s="3" t="s">
        <v>121</v>
      </c>
      <c r="G16" s="3">
        <v>15</v>
      </c>
      <c r="H16" s="9"/>
      <c r="I16" s="9"/>
      <c r="J16" s="9"/>
      <c r="K16" s="4">
        <f t="shared" si="0"/>
      </c>
      <c r="L16" s="10">
        <f t="shared" si="1"/>
      </c>
    </row>
    <row r="17" ht="15" customHeight="1" spans="1:12" x14ac:dyDescent="0.25">
      <c r="A17" s="7" t="s">
        <v>126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5">
      <c r="A18" s="3">
        <v>5</v>
      </c>
      <c r="B18" s="3" t="s">
        <v>127</v>
      </c>
      <c r="C18" s="3" t="s">
        <v>249</v>
      </c>
      <c r="D18" s="3" t="s">
        <v>250</v>
      </c>
      <c r="E18" s="3" t="s">
        <v>251</v>
      </c>
      <c r="F18" s="3" t="s">
        <v>130</v>
      </c>
      <c r="G18" s="3">
        <v>10</v>
      </c>
      <c r="H18" s="9"/>
      <c r="I18" s="9"/>
      <c r="J18" s="9"/>
      <c r="K18" s="4">
        <f t="shared" ref="K18:K20" si="2">IF(COUNT(H18:J18)=0,"",AVERAGE(H18:J18))</f>
      </c>
      <c r="L18" s="10">
        <f t="shared" ref="L18:L20" si="3">IF(K18="","",G18*K18)</f>
      </c>
    </row>
    <row r="19" spans="1:12" x14ac:dyDescent="0.25">
      <c r="A19" s="3">
        <v>6</v>
      </c>
      <c r="B19" s="3" t="s">
        <v>127</v>
      </c>
      <c r="C19" s="3" t="s">
        <v>252</v>
      </c>
      <c r="D19" s="3" t="s">
        <v>253</v>
      </c>
      <c r="E19" s="3" t="s">
        <v>254</v>
      </c>
      <c r="F19" s="3" t="s">
        <v>130</v>
      </c>
      <c r="G19" s="3">
        <v>8</v>
      </c>
      <c r="H19" s="9"/>
      <c r="I19" s="9"/>
      <c r="J19" s="9"/>
      <c r="K19" s="4">
        <f t="shared" si="2"/>
      </c>
      <c r="L19" s="10">
        <f t="shared" si="3"/>
      </c>
    </row>
    <row r="20" spans="1:12" x14ac:dyDescent="0.25">
      <c r="A20" s="3">
        <v>7</v>
      </c>
      <c r="B20" s="3" t="s">
        <v>127</v>
      </c>
      <c r="C20" s="3" t="s">
        <v>255</v>
      </c>
      <c r="D20" s="3" t="s">
        <v>256</v>
      </c>
      <c r="E20" s="3" t="s">
        <v>257</v>
      </c>
      <c r="F20" s="3" t="s">
        <v>258</v>
      </c>
      <c r="G20" s="3">
        <v>7</v>
      </c>
      <c r="H20" s="9"/>
      <c r="I20" s="9"/>
      <c r="J20" s="9"/>
      <c r="K20" s="4">
        <f t="shared" si="2"/>
      </c>
      <c r="L20" s="10">
        <f t="shared" si="3"/>
      </c>
    </row>
    <row r="21" ht="15" customHeight="1" spans="1:12" x14ac:dyDescent="0.25">
      <c r="A21" s="7" t="s">
        <v>134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ht="15.75" customHeight="1" spans="1:12" x14ac:dyDescent="0.25">
      <c r="A22" s="3">
        <v>8</v>
      </c>
      <c r="B22" s="3" t="s">
        <v>135</v>
      </c>
      <c r="C22" s="3" t="s">
        <v>172</v>
      </c>
      <c r="D22" s="3" t="s">
        <v>173</v>
      </c>
      <c r="E22" s="3" t="s">
        <v>124</v>
      </c>
      <c r="F22" s="3" t="s">
        <v>130</v>
      </c>
      <c r="G22" s="3">
        <v>10</v>
      </c>
      <c r="H22" s="9"/>
      <c r="I22" s="9"/>
      <c r="J22" s="9"/>
      <c r="K22" s="4">
        <f t="shared" ref="K22:K23" si="4">IF(COUNT(H22:J22)=0,"",AVERAGE(H22:J22))</f>
      </c>
      <c r="L22" s="10">
        <f t="shared" ref="L22:L23" si="5">IF(K22="","",G22*K22)</f>
      </c>
    </row>
    <row r="23" ht="15.75" customHeight="1" spans="1:12" x14ac:dyDescent="0.25">
      <c r="A23" s="3">
        <v>9</v>
      </c>
      <c r="B23" s="3" t="s">
        <v>135</v>
      </c>
      <c r="C23" s="3" t="s">
        <v>174</v>
      </c>
      <c r="D23" s="3" t="s">
        <v>175</v>
      </c>
      <c r="E23" s="3" t="s">
        <v>176</v>
      </c>
      <c r="F23" s="3" t="s">
        <v>130</v>
      </c>
      <c r="G23" s="3">
        <v>5</v>
      </c>
      <c r="H23" s="9"/>
      <c r="I23" s="9"/>
      <c r="J23" s="9"/>
      <c r="K23" s="4">
        <f t="shared" si="4"/>
      </c>
      <c r="L23" s="10">
        <f t="shared" si="5"/>
      </c>
    </row>
    <row r="24" ht="15.75" customHeight="1" x14ac:dyDescent="0.25"/>
    <row r="25" ht="15.75" customHeight="1" spans="10:12" x14ac:dyDescent="0.25">
      <c r="J25" s="5" t="s">
        <v>142</v>
      </c>
      <c r="L25" s="5">
        <f>SUM(G12:G23)</f>
        <v>100</v>
      </c>
    </row>
    <row r="26" ht="15.75" customHeight="1" spans="10:12" x14ac:dyDescent="0.25">
      <c r="J26" s="5" t="s">
        <v>8</v>
      </c>
      <c r="L26" s="11">
        <f>IFERROR(SUM(L12:L23)/SUMPRODUCT((K12:K23&lt;&gt;"")*G12:G23),"")</f>
      </c>
    </row>
    <row r="27" ht="15.75" customHeight="1" spans="10:12" x14ac:dyDescent="0.25">
      <c r="J27" s="5" t="s">
        <v>9</v>
      </c>
      <c r="L27" s="5">
        <f>IF(L26="","",IF(L26&gt;=0.9,"Exceeds",IF(L26&gt;=0.75,"Meets",IF(L26&gt;=0.5,"Partly meets","Below"))))</f>
      </c>
    </row>
    <row r="28" ht="15.75" customHeight="1" x14ac:dyDescent="0.25"/>
    <row r="29" ht="15.75" customHeight="1" spans="1:1" x14ac:dyDescent="0.25">
      <c r="A29" s="12" t="s">
        <v>143</v>
      </c>
    </row>
    <row r="30" ht="15.75" customHeight="1" spans="3:4" x14ac:dyDescent="0.25">
      <c r="C30" s="6" t="s">
        <v>443</v>
      </c>
      <c r="D30" s="6" t="s">
        <v>260</v>
      </c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7:L17"/>
    <mergeCell ref="A21:L21"/>
  </mergeCells>
  <dataValidations count="3">
    <dataValidation type="decimal" allowBlank="1" showInputMessage="1" prompt="Enter a score from 0 to 1" showErrorMessage="1" sqref="H13:J16">
      <formula1>0</formula1>
      <formula2>1</formula2>
    </dataValidation>
    <dataValidation type="decimal" allowBlank="1" showInputMessage="1" prompt="Enter a score from 0 to 1" showErrorMessage="1" sqref="H18:J20">
      <formula1>0</formula1>
      <formula2>1</formula2>
    </dataValidation>
    <dataValidation type="decimal" allowBlank="1" showInputMessage="1" prompt="Enter a score from 0 to 1" showErrorMessage="1" sqref="H22:J23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444</v>
      </c>
    </row>
    <row r="3" ht="23.25" customHeight="1" spans="1:6" x14ac:dyDescent="0.25">
      <c r="A3" s="5" t="s">
        <v>1</v>
      </c>
      <c r="B3" s="6" t="s">
        <v>81</v>
      </c>
      <c r="C3"/>
      <c r="D3"/>
      <c r="E3"/>
      <c r="F3"/>
    </row>
    <row r="4" ht="34.5" customHeight="1" spans="1:6" x14ac:dyDescent="0.25">
      <c r="A4" s="5" t="s">
        <v>3</v>
      </c>
      <c r="B4" s="6" t="s">
        <v>82</v>
      </c>
      <c r="C4"/>
      <c r="D4"/>
      <c r="E4"/>
      <c r="F4"/>
    </row>
    <row r="5" ht="23.25" customHeight="1" spans="1:6" x14ac:dyDescent="0.25">
      <c r="A5" s="5" t="s">
        <v>4</v>
      </c>
      <c r="B5" s="6" t="s">
        <v>83</v>
      </c>
      <c r="C5"/>
      <c r="D5"/>
      <c r="E5"/>
      <c r="F5"/>
    </row>
    <row r="6" ht="34.5" customHeight="1" spans="1:6" x14ac:dyDescent="0.25">
      <c r="A6" s="5" t="s">
        <v>5</v>
      </c>
      <c r="B6" s="6" t="s">
        <v>21</v>
      </c>
      <c r="C6"/>
      <c r="D6"/>
      <c r="E6"/>
      <c r="F6"/>
    </row>
    <row r="7" ht="23.25" customHeight="1" spans="1:6" x14ac:dyDescent="0.25">
      <c r="A7" s="5" t="s">
        <v>6</v>
      </c>
      <c r="B7" s="6" t="s">
        <v>11</v>
      </c>
      <c r="C7"/>
      <c r="D7"/>
      <c r="E7"/>
      <c r="F7"/>
    </row>
    <row r="8" ht="23.25" customHeight="1" spans="1:6" x14ac:dyDescent="0.25">
      <c r="A8" s="5" t="s">
        <v>7</v>
      </c>
      <c r="B8" s="6" t="s">
        <v>84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445</v>
      </c>
      <c r="D13" s="3" t="s">
        <v>446</v>
      </c>
      <c r="E13" s="3" t="s">
        <v>447</v>
      </c>
      <c r="F13" s="3" t="s">
        <v>183</v>
      </c>
      <c r="G13" s="3">
        <v>12</v>
      </c>
      <c r="H13" s="9"/>
      <c r="I13" s="9"/>
      <c r="J13" s="9"/>
      <c r="K13" s="4">
        <f t="shared" ref="K13:K18" si="0">IF(J13&lt;&gt;"",J13,IF(I13&lt;&gt;"",I13,IF(H13&lt;&gt;"",H13,"")))</f>
      </c>
      <c r="L13" s="10">
        <f t="shared" ref="L13:L18" si="1">IF(K13="","",G13*K13)</f>
      </c>
    </row>
    <row r="14" spans="1:12" x14ac:dyDescent="0.25">
      <c r="A14" s="3">
        <v>2</v>
      </c>
      <c r="B14" s="3" t="s">
        <v>105</v>
      </c>
      <c r="C14" s="3" t="s">
        <v>448</v>
      </c>
      <c r="D14" s="3" t="s">
        <v>449</v>
      </c>
      <c r="E14" s="3" t="s">
        <v>335</v>
      </c>
      <c r="F14" s="3" t="s">
        <v>125</v>
      </c>
      <c r="G14" s="3">
        <v>10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450</v>
      </c>
      <c r="D15" s="3" t="s">
        <v>451</v>
      </c>
      <c r="E15" s="3" t="s">
        <v>452</v>
      </c>
      <c r="F15" s="3" t="s">
        <v>121</v>
      </c>
      <c r="G15" s="3">
        <v>12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453</v>
      </c>
      <c r="D16" s="3" t="s">
        <v>454</v>
      </c>
      <c r="E16" s="3" t="s">
        <v>455</v>
      </c>
      <c r="F16" s="3" t="s">
        <v>121</v>
      </c>
      <c r="G16" s="3">
        <v>10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456</v>
      </c>
      <c r="D17" s="3" t="s">
        <v>457</v>
      </c>
      <c r="E17" s="3" t="s">
        <v>152</v>
      </c>
      <c r="F17" s="3" t="s">
        <v>458</v>
      </c>
      <c r="G17" s="3">
        <v>10</v>
      </c>
      <c r="H17" s="9"/>
      <c r="I17" s="9"/>
      <c r="J17" s="9"/>
      <c r="K17" s="4">
        <f t="shared" si="0"/>
      </c>
      <c r="L17" s="10">
        <f t="shared" si="1"/>
      </c>
    </row>
    <row r="18" spans="1:12" x14ac:dyDescent="0.25">
      <c r="A18" s="3">
        <v>6</v>
      </c>
      <c r="B18" s="3" t="s">
        <v>105</v>
      </c>
      <c r="C18" s="3" t="s">
        <v>459</v>
      </c>
      <c r="D18" s="3" t="s">
        <v>460</v>
      </c>
      <c r="E18" s="3" t="s">
        <v>461</v>
      </c>
      <c r="F18" s="3" t="s">
        <v>121</v>
      </c>
      <c r="G18" s="3">
        <v>6</v>
      </c>
      <c r="H18" s="9"/>
      <c r="I18" s="9"/>
      <c r="J18" s="9"/>
      <c r="K18" s="4">
        <f t="shared" si="0"/>
      </c>
      <c r="L18" s="10">
        <f t="shared" si="1"/>
      </c>
    </row>
    <row r="19" ht="15" customHeight="1" spans="1:12" x14ac:dyDescent="0.25">
      <c r="A19" s="7" t="s">
        <v>126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>
        <v>7</v>
      </c>
      <c r="B20" s="3" t="s">
        <v>127</v>
      </c>
      <c r="C20" s="3" t="s">
        <v>462</v>
      </c>
      <c r="D20" s="3" t="s">
        <v>463</v>
      </c>
      <c r="E20" s="3" t="s">
        <v>464</v>
      </c>
      <c r="F20" s="3" t="s">
        <v>130</v>
      </c>
      <c r="G20" s="3">
        <v>7</v>
      </c>
      <c r="H20" s="9"/>
      <c r="I20" s="9"/>
      <c r="J20" s="9"/>
      <c r="K20" s="4">
        <f t="shared" ref="K20:K23" si="2">IF(COUNT(H20:J20)=0,"",AVERAGE(H20:J20))</f>
      </c>
      <c r="L20" s="10">
        <f t="shared" ref="L20:L23" si="3">IF(K20="","",G20*K20)</f>
      </c>
    </row>
    <row r="21" ht="15.75" customHeight="1" spans="1:12" x14ac:dyDescent="0.25">
      <c r="A21" s="3">
        <v>8</v>
      </c>
      <c r="B21" s="3" t="s">
        <v>127</v>
      </c>
      <c r="C21" s="3" t="s">
        <v>465</v>
      </c>
      <c r="D21" s="3" t="s">
        <v>466</v>
      </c>
      <c r="E21" s="3" t="s">
        <v>467</v>
      </c>
      <c r="F21" s="3" t="s">
        <v>468</v>
      </c>
      <c r="G21" s="3">
        <v>6</v>
      </c>
      <c r="H21" s="9"/>
      <c r="I21" s="9"/>
      <c r="J21" s="9"/>
      <c r="K21" s="4">
        <f t="shared" si="2"/>
      </c>
      <c r="L21" s="10">
        <f t="shared" si="3"/>
      </c>
    </row>
    <row r="22" ht="15.75" customHeight="1" spans="1:12" x14ac:dyDescent="0.25">
      <c r="A22" s="3">
        <v>9</v>
      </c>
      <c r="B22" s="3" t="s">
        <v>127</v>
      </c>
      <c r="C22" s="3" t="s">
        <v>469</v>
      </c>
      <c r="D22" s="3" t="s">
        <v>470</v>
      </c>
      <c r="E22" s="3" t="s">
        <v>471</v>
      </c>
      <c r="F22" s="3" t="s">
        <v>468</v>
      </c>
      <c r="G22" s="3">
        <v>6</v>
      </c>
      <c r="H22" s="9"/>
      <c r="I22" s="9"/>
      <c r="J22" s="9"/>
      <c r="K22" s="4">
        <f t="shared" si="2"/>
      </c>
      <c r="L22" s="10">
        <f t="shared" si="3"/>
      </c>
    </row>
    <row r="23" ht="15.75" customHeight="1" spans="1:12" x14ac:dyDescent="0.25">
      <c r="A23" s="3">
        <v>10</v>
      </c>
      <c r="B23" s="3" t="s">
        <v>127</v>
      </c>
      <c r="C23" s="3" t="s">
        <v>472</v>
      </c>
      <c r="D23" s="3" t="s">
        <v>473</v>
      </c>
      <c r="E23" s="3" t="s">
        <v>474</v>
      </c>
      <c r="F23" s="3" t="s">
        <v>130</v>
      </c>
      <c r="G23" s="3">
        <v>6</v>
      </c>
      <c r="H23" s="9"/>
      <c r="I23" s="9"/>
      <c r="J23" s="9"/>
      <c r="K23" s="4">
        <f t="shared" si="2"/>
      </c>
      <c r="L23" s="10">
        <f t="shared" si="3"/>
      </c>
    </row>
    <row r="24" ht="15" customHeight="1" spans="1:12" x14ac:dyDescent="0.25">
      <c r="A24" s="7" t="s">
        <v>134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ht="15.75" customHeight="1" spans="1:12" x14ac:dyDescent="0.25">
      <c r="A25" s="3">
        <v>11</v>
      </c>
      <c r="B25" s="3" t="s">
        <v>135</v>
      </c>
      <c r="C25" s="3" t="s">
        <v>172</v>
      </c>
      <c r="D25" s="3" t="s">
        <v>208</v>
      </c>
      <c r="E25" s="3" t="s">
        <v>124</v>
      </c>
      <c r="F25" s="3" t="s">
        <v>130</v>
      </c>
      <c r="G25" s="3">
        <v>8</v>
      </c>
      <c r="H25" s="9"/>
      <c r="I25" s="9"/>
      <c r="J25" s="9"/>
      <c r="K25" s="4">
        <f t="shared" ref="K25:K27" si="4">IF(COUNT(H25:J25)=0,"",AVERAGE(H25:J25))</f>
      </c>
      <c r="L25" s="10">
        <f t="shared" ref="L25:L27" si="5">IF(K25="","",G25*K25)</f>
      </c>
    </row>
    <row r="26" ht="15.75" customHeight="1" spans="1:12" x14ac:dyDescent="0.25">
      <c r="A26" s="3">
        <v>12</v>
      </c>
      <c r="B26" s="3" t="s">
        <v>135</v>
      </c>
      <c r="C26" s="3" t="s">
        <v>209</v>
      </c>
      <c r="D26" s="3" t="s">
        <v>210</v>
      </c>
      <c r="E26" s="3" t="s">
        <v>176</v>
      </c>
      <c r="F26" s="3" t="s">
        <v>130</v>
      </c>
      <c r="G26" s="3">
        <v>3</v>
      </c>
      <c r="H26" s="9"/>
      <c r="I26" s="9"/>
      <c r="J26" s="9"/>
      <c r="K26" s="4">
        <f t="shared" si="4"/>
      </c>
      <c r="L26" s="10">
        <f t="shared" si="5"/>
      </c>
    </row>
    <row r="27" ht="15.75" customHeight="1" spans="1:12" x14ac:dyDescent="0.25">
      <c r="A27" s="3">
        <v>13</v>
      </c>
      <c r="B27" s="3" t="s">
        <v>135</v>
      </c>
      <c r="C27" s="3" t="s">
        <v>211</v>
      </c>
      <c r="D27" s="3" t="s">
        <v>212</v>
      </c>
      <c r="E27" s="3" t="s">
        <v>213</v>
      </c>
      <c r="F27" s="3" t="s">
        <v>141</v>
      </c>
      <c r="G27" s="3">
        <v>4</v>
      </c>
      <c r="H27" s="9"/>
      <c r="I27" s="9"/>
      <c r="J27" s="9"/>
      <c r="K27" s="4">
        <f t="shared" si="4"/>
      </c>
      <c r="L27" s="10">
        <f t="shared" si="5"/>
      </c>
    </row>
    <row r="28" ht="15.75" customHeight="1" x14ac:dyDescent="0.25"/>
    <row r="29" ht="15.75" customHeight="1" spans="10:12" x14ac:dyDescent="0.25">
      <c r="J29" s="5" t="s">
        <v>142</v>
      </c>
      <c r="L29" s="5">
        <f>SUM(G12:G27)</f>
        <v>100</v>
      </c>
    </row>
    <row r="30" ht="15.75" customHeight="1" spans="10:12" x14ac:dyDescent="0.25">
      <c r="J30" s="5" t="s">
        <v>8</v>
      </c>
      <c r="L30" s="11">
        <f>IFERROR(SUM(L12:L27)/SUMPRODUCT((K12:K27&lt;&gt;"")*G12:G27),"")</f>
      </c>
    </row>
    <row r="31" ht="15.75" customHeight="1" spans="10:12" x14ac:dyDescent="0.25">
      <c r="J31" s="5" t="s">
        <v>9</v>
      </c>
      <c r="L31" s="5">
        <f>IF(L30="","",IF(L30&gt;=0.9,"Exceeds",IF(L30&gt;=0.75,"Meets",IF(L30&gt;=0.5,"Partly meets","Below"))))</f>
      </c>
    </row>
    <row r="32" ht="15.75" customHeight="1" x14ac:dyDescent="0.25"/>
    <row r="33" ht="15.75" customHeight="1" spans="1:1" x14ac:dyDescent="0.25">
      <c r="A33" s="12" t="s">
        <v>143</v>
      </c>
    </row>
    <row r="34" ht="15.75" customHeight="1" spans="3:4" x14ac:dyDescent="0.25">
      <c r="C34" s="6" t="s">
        <v>475</v>
      </c>
      <c r="D34" s="6" t="s">
        <v>215</v>
      </c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9:L19"/>
    <mergeCell ref="A24:L24"/>
  </mergeCells>
  <dataValidations count="3">
    <dataValidation type="decimal" allowBlank="1" showInputMessage="1" prompt="Enter a score from 0 to 1" showErrorMessage="1" sqref="H13:J18">
      <formula1>0</formula1>
      <formula2>1</formula2>
    </dataValidation>
    <dataValidation type="decimal" allowBlank="1" showInputMessage="1" prompt="Enter a score from 0 to 1" showErrorMessage="1" sqref="H20:J23">
      <formula1>0</formula1>
      <formula2>1</formula2>
    </dataValidation>
    <dataValidation type="decimal" allowBlank="1" showInputMessage="1" prompt="Enter a score from 0 to 1" showErrorMessage="1" sqref="H25:J27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showGridLines="0" zoomScale="100" zoomScaleNormal="100">
      <pane xSplit="2" ySplit="11" topLeftCell="C12" activePane="bottomRight" state="frozen"/>
      <selection pane="bottomRight" activeCell="C12" sqref="C12"/>
    </sheetView>
  </sheetViews>
  <sheetFormatPr defaultRowHeight="15" outlineLevelRow="0" outlineLevelCol="0" x14ac:dyDescent="0" defaultColWidth="14.43"/>
  <cols>
    <col min="1" max="1" width="5" customWidth="1"/>
    <col min="2" max="2" width="13" customWidth="1"/>
    <col min="3" max="3" width="30" customWidth="1"/>
    <col min="4" max="4" width="60" customWidth="1"/>
    <col min="5" max="5" width="18" customWidth="1"/>
    <col min="6" max="6" width="15" customWidth="1"/>
    <col min="7" max="7" width="8" customWidth="1"/>
    <col min="8" max="10" width="7" customWidth="1"/>
    <col min="11" max="12" width="10" customWidth="1"/>
    <col min="13" max="26" width="8.71" customWidth="1"/>
  </cols>
  <sheetData>
    <row r="1" spans="1:1" x14ac:dyDescent="0.25">
      <c r="A1" s="1" t="s">
        <v>476</v>
      </c>
    </row>
    <row r="3" ht="23.25" customHeight="1" spans="1:6" x14ac:dyDescent="0.25">
      <c r="A3" s="5" t="s">
        <v>1</v>
      </c>
      <c r="B3" s="6" t="s">
        <v>85</v>
      </c>
      <c r="C3"/>
      <c r="D3"/>
      <c r="E3"/>
      <c r="F3"/>
    </row>
    <row r="4" ht="34.5" customHeight="1" spans="1:6" x14ac:dyDescent="0.25">
      <c r="A4" s="5" t="s">
        <v>3</v>
      </c>
      <c r="B4" s="6" t="s">
        <v>87</v>
      </c>
      <c r="C4"/>
      <c r="D4"/>
      <c r="E4"/>
      <c r="F4"/>
    </row>
    <row r="5" ht="23.25" customHeight="1" spans="1:6" x14ac:dyDescent="0.25">
      <c r="A5" s="5" t="s">
        <v>4</v>
      </c>
      <c r="B5" s="6" t="s">
        <v>20</v>
      </c>
      <c r="C5"/>
      <c r="D5"/>
      <c r="E5"/>
      <c r="F5"/>
    </row>
    <row r="6" ht="34.5" customHeight="1" spans="1:6" x14ac:dyDescent="0.25">
      <c r="A6" s="5" t="s">
        <v>5</v>
      </c>
      <c r="B6" s="6" t="s">
        <v>21</v>
      </c>
      <c r="C6"/>
      <c r="D6"/>
      <c r="E6"/>
      <c r="F6"/>
    </row>
    <row r="7" ht="23.25" customHeight="1" spans="1:6" x14ac:dyDescent="0.25">
      <c r="A7" s="5" t="s">
        <v>6</v>
      </c>
      <c r="B7" s="6" t="s">
        <v>22</v>
      </c>
      <c r="C7"/>
      <c r="D7"/>
      <c r="E7"/>
      <c r="F7"/>
    </row>
    <row r="8" ht="23.25" customHeight="1" spans="1:6" x14ac:dyDescent="0.25">
      <c r="A8" s="5" t="s">
        <v>7</v>
      </c>
      <c r="B8" s="6" t="s">
        <v>88</v>
      </c>
      <c r="C8"/>
      <c r="D8"/>
      <c r="E8"/>
      <c r="F8"/>
    </row>
    <row r="9" ht="23.25" customHeight="1" spans="1:6" x14ac:dyDescent="0.25">
      <c r="A9" s="5" t="s">
        <v>90</v>
      </c>
      <c r="B9" s="6" t="s">
        <v>91</v>
      </c>
      <c r="C9"/>
      <c r="D9"/>
      <c r="E9"/>
      <c r="F9"/>
    </row>
    <row r="11" spans="1:12" x14ac:dyDescent="0.2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103</v>
      </c>
    </row>
    <row r="12" ht="15" customHeight="1" spans="1:12" x14ac:dyDescent="0.25">
      <c r="A12" s="7" t="s">
        <v>104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25">
      <c r="A13" s="3">
        <v>1</v>
      </c>
      <c r="B13" s="3" t="s">
        <v>105</v>
      </c>
      <c r="C13" s="3" t="s">
        <v>147</v>
      </c>
      <c r="D13" s="3" t="s">
        <v>148</v>
      </c>
      <c r="E13" s="3" t="s">
        <v>149</v>
      </c>
      <c r="F13" s="3" t="s">
        <v>121</v>
      </c>
      <c r="G13" s="3">
        <v>10</v>
      </c>
      <c r="H13" s="9"/>
      <c r="I13" s="9"/>
      <c r="J13" s="9"/>
      <c r="K13" s="4">
        <f t="shared" ref="K13:K17" si="0">IF(J13&lt;&gt;"",J13,IF(I13&lt;&gt;"",I13,IF(H13&lt;&gt;"",H13,"")))</f>
      </c>
      <c r="L13" s="10">
        <f t="shared" ref="L13:L17" si="1">IF(K13="","",G13*K13)</f>
      </c>
    </row>
    <row r="14" spans="1:12" x14ac:dyDescent="0.25">
      <c r="A14" s="3">
        <v>2</v>
      </c>
      <c r="B14" s="3" t="s">
        <v>105</v>
      </c>
      <c r="C14" s="3" t="s">
        <v>477</v>
      </c>
      <c r="D14" s="3" t="s">
        <v>478</v>
      </c>
      <c r="E14" s="3" t="s">
        <v>160</v>
      </c>
      <c r="F14" s="3" t="s">
        <v>479</v>
      </c>
      <c r="G14" s="3">
        <v>15</v>
      </c>
      <c r="H14" s="9"/>
      <c r="I14" s="9"/>
      <c r="J14" s="9"/>
      <c r="K14" s="4">
        <f t="shared" si="0"/>
      </c>
      <c r="L14" s="10">
        <f t="shared" si="1"/>
      </c>
    </row>
    <row r="15" spans="1:12" x14ac:dyDescent="0.25">
      <c r="A15" s="3">
        <v>3</v>
      </c>
      <c r="B15" s="3" t="s">
        <v>105</v>
      </c>
      <c r="C15" s="3" t="s">
        <v>480</v>
      </c>
      <c r="D15" s="3" t="s">
        <v>481</v>
      </c>
      <c r="E15" s="3" t="s">
        <v>149</v>
      </c>
      <c r="F15" s="3" t="s">
        <v>121</v>
      </c>
      <c r="G15" s="3">
        <v>10</v>
      </c>
      <c r="H15" s="9"/>
      <c r="I15" s="9"/>
      <c r="J15" s="9"/>
      <c r="K15" s="4">
        <f t="shared" si="0"/>
      </c>
      <c r="L15" s="10">
        <f t="shared" si="1"/>
      </c>
    </row>
    <row r="16" spans="1:12" x14ac:dyDescent="0.25">
      <c r="A16" s="3">
        <v>4</v>
      </c>
      <c r="B16" s="3" t="s">
        <v>105</v>
      </c>
      <c r="C16" s="3" t="s">
        <v>482</v>
      </c>
      <c r="D16" s="3" t="s">
        <v>483</v>
      </c>
      <c r="E16" s="3" t="s">
        <v>452</v>
      </c>
      <c r="F16" s="3" t="s">
        <v>279</v>
      </c>
      <c r="G16" s="3">
        <v>10</v>
      </c>
      <c r="H16" s="9"/>
      <c r="I16" s="9"/>
      <c r="J16" s="9"/>
      <c r="K16" s="4">
        <f t="shared" si="0"/>
      </c>
      <c r="L16" s="10">
        <f t="shared" si="1"/>
      </c>
    </row>
    <row r="17" spans="1:12" x14ac:dyDescent="0.25">
      <c r="A17" s="3">
        <v>5</v>
      </c>
      <c r="B17" s="3" t="s">
        <v>105</v>
      </c>
      <c r="C17" s="3" t="s">
        <v>484</v>
      </c>
      <c r="D17" s="3" t="s">
        <v>485</v>
      </c>
      <c r="E17" s="3" t="s">
        <v>152</v>
      </c>
      <c r="F17" s="3" t="s">
        <v>279</v>
      </c>
      <c r="G17" s="3">
        <v>15</v>
      </c>
      <c r="H17" s="9"/>
      <c r="I17" s="9"/>
      <c r="J17" s="9"/>
      <c r="K17" s="4">
        <f t="shared" si="0"/>
      </c>
      <c r="L17" s="10">
        <f t="shared" si="1"/>
      </c>
    </row>
    <row r="18" ht="15" customHeight="1" spans="1:12" x14ac:dyDescent="0.25">
      <c r="A18" s="7" t="s">
        <v>126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3">
        <v>6</v>
      </c>
      <c r="B19" s="3" t="s">
        <v>127</v>
      </c>
      <c r="C19" s="3" t="s">
        <v>462</v>
      </c>
      <c r="D19" s="3" t="s">
        <v>463</v>
      </c>
      <c r="E19" s="3" t="s">
        <v>464</v>
      </c>
      <c r="F19" s="3" t="s">
        <v>130</v>
      </c>
      <c r="G19" s="3">
        <v>8</v>
      </c>
      <c r="H19" s="9"/>
      <c r="I19" s="9"/>
      <c r="J19" s="9"/>
      <c r="K19" s="4">
        <f t="shared" ref="K19:K22" si="2">IF(COUNT(H19:J19)=0,"",AVERAGE(H19:J19))</f>
      </c>
      <c r="L19" s="10">
        <f t="shared" ref="L19:L22" si="3">IF(K19="","",G19*K19)</f>
      </c>
    </row>
    <row r="20" spans="1:12" x14ac:dyDescent="0.25">
      <c r="A20" s="3">
        <v>7</v>
      </c>
      <c r="B20" s="3" t="s">
        <v>127</v>
      </c>
      <c r="C20" s="3" t="s">
        <v>168</v>
      </c>
      <c r="D20" s="3" t="s">
        <v>169</v>
      </c>
      <c r="E20" s="3" t="s">
        <v>170</v>
      </c>
      <c r="F20" s="3" t="s">
        <v>171</v>
      </c>
      <c r="G20" s="3">
        <v>7</v>
      </c>
      <c r="H20" s="9"/>
      <c r="I20" s="9"/>
      <c r="J20" s="9"/>
      <c r="K20" s="4">
        <f t="shared" si="2"/>
      </c>
      <c r="L20" s="10">
        <f t="shared" si="3"/>
      </c>
    </row>
    <row r="21" ht="15.75" customHeight="1" spans="1:12" x14ac:dyDescent="0.25">
      <c r="A21" s="3">
        <v>8</v>
      </c>
      <c r="B21" s="3" t="s">
        <v>127</v>
      </c>
      <c r="C21" s="3" t="s">
        <v>465</v>
      </c>
      <c r="D21" s="3" t="s">
        <v>466</v>
      </c>
      <c r="E21" s="3" t="s">
        <v>467</v>
      </c>
      <c r="F21" s="3" t="s">
        <v>468</v>
      </c>
      <c r="G21" s="3">
        <v>5</v>
      </c>
      <c r="H21" s="9"/>
      <c r="I21" s="9"/>
      <c r="J21" s="9"/>
      <c r="K21" s="4">
        <f t="shared" si="2"/>
      </c>
      <c r="L21" s="10">
        <f t="shared" si="3"/>
      </c>
    </row>
    <row r="22" ht="15.75" customHeight="1" spans="1:12" x14ac:dyDescent="0.25">
      <c r="A22" s="3">
        <v>9</v>
      </c>
      <c r="B22" s="3" t="s">
        <v>127</v>
      </c>
      <c r="C22" s="3" t="s">
        <v>342</v>
      </c>
      <c r="D22" s="3" t="s">
        <v>343</v>
      </c>
      <c r="E22" s="3" t="s">
        <v>344</v>
      </c>
      <c r="F22" s="3" t="s">
        <v>130</v>
      </c>
      <c r="G22" s="3">
        <v>5</v>
      </c>
      <c r="H22" s="9"/>
      <c r="I22" s="9"/>
      <c r="J22" s="9"/>
      <c r="K22" s="4">
        <f t="shared" si="2"/>
      </c>
      <c r="L22" s="10">
        <f t="shared" si="3"/>
      </c>
    </row>
    <row r="23" ht="15" customHeight="1" spans="1:12" x14ac:dyDescent="0.25">
      <c r="A23" s="7" t="s">
        <v>134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ht="15.75" customHeight="1" spans="1:12" x14ac:dyDescent="0.25">
      <c r="A24" s="3">
        <v>10</v>
      </c>
      <c r="B24" s="3" t="s">
        <v>135</v>
      </c>
      <c r="C24" s="3" t="s">
        <v>172</v>
      </c>
      <c r="D24" s="3" t="s">
        <v>173</v>
      </c>
      <c r="E24" s="3" t="s">
        <v>124</v>
      </c>
      <c r="F24" s="3" t="s">
        <v>130</v>
      </c>
      <c r="G24" s="3">
        <v>10</v>
      </c>
      <c r="H24" s="9"/>
      <c r="I24" s="9"/>
      <c r="J24" s="9"/>
      <c r="K24" s="4">
        <f t="shared" ref="K24:K25" si="4">IF(COUNT(H24:J24)=0,"",AVERAGE(H24:J24))</f>
      </c>
      <c r="L24" s="10">
        <f t="shared" ref="L24:L25" si="5">IF(K24="","",G24*K24)</f>
      </c>
    </row>
    <row r="25" ht="15.75" customHeight="1" spans="1:12" x14ac:dyDescent="0.25">
      <c r="A25" s="3">
        <v>11</v>
      </c>
      <c r="B25" s="3" t="s">
        <v>135</v>
      </c>
      <c r="C25" s="3" t="s">
        <v>174</v>
      </c>
      <c r="D25" s="3" t="s">
        <v>175</v>
      </c>
      <c r="E25" s="3" t="s">
        <v>176</v>
      </c>
      <c r="F25" s="3" t="s">
        <v>130</v>
      </c>
      <c r="G25" s="3">
        <v>5</v>
      </c>
      <c r="H25" s="9"/>
      <c r="I25" s="9"/>
      <c r="J25" s="9"/>
      <c r="K25" s="4">
        <f t="shared" si="4"/>
      </c>
      <c r="L25" s="10">
        <f t="shared" si="5"/>
      </c>
    </row>
    <row r="26" ht="15.75" customHeight="1" x14ac:dyDescent="0.25"/>
    <row r="27" ht="15.75" customHeight="1" spans="10:12" x14ac:dyDescent="0.25">
      <c r="J27" s="5" t="s">
        <v>142</v>
      </c>
      <c r="L27" s="5">
        <f>SUM(G12:G25)</f>
        <v>100</v>
      </c>
    </row>
    <row r="28" ht="15.75" customHeight="1" spans="10:12" x14ac:dyDescent="0.25">
      <c r="J28" s="5" t="s">
        <v>8</v>
      </c>
      <c r="L28" s="11">
        <f>IFERROR(SUM(L12:L25)/SUMPRODUCT((K12:K25&lt;&gt;"")*G12:G25),"")</f>
      </c>
    </row>
    <row r="29" ht="15.75" customHeight="1" spans="10:12" x14ac:dyDescent="0.25">
      <c r="J29" s="5" t="s">
        <v>9</v>
      </c>
      <c r="L29" s="5">
        <f>IF(L28="","",IF(L28&gt;=0.9,"Exceeds",IF(L28&gt;=0.75,"Meets",IF(L28&gt;=0.5,"Partly meets","Below"))))</f>
      </c>
    </row>
    <row r="30" ht="15.75" customHeight="1" x14ac:dyDescent="0.25"/>
    <row r="31" ht="15.75" customHeight="1" spans="1:1" x14ac:dyDescent="0.25">
      <c r="A31" s="12" t="s">
        <v>143</v>
      </c>
    </row>
    <row r="32" ht="15.75" customHeight="1" spans="3:4" x14ac:dyDescent="0.25">
      <c r="C32" s="6" t="s">
        <v>486</v>
      </c>
      <c r="D32" s="6" t="s">
        <v>178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B3:F3"/>
    <mergeCell ref="B4:F4"/>
    <mergeCell ref="B5:F5"/>
    <mergeCell ref="B6:F6"/>
    <mergeCell ref="B7:F7"/>
    <mergeCell ref="B8:F8"/>
    <mergeCell ref="B9:F9"/>
    <mergeCell ref="A12:L12"/>
    <mergeCell ref="A18:L18"/>
    <mergeCell ref="A23:L23"/>
  </mergeCells>
  <dataValidations count="3">
    <dataValidation type="decimal" allowBlank="1" showInputMessage="1" prompt="Enter a score from 0 to 1" showErrorMessage="1" sqref="H13:J17">
      <formula1>0</formula1>
      <formula2>1</formula2>
    </dataValidation>
    <dataValidation type="decimal" allowBlank="1" showInputMessage="1" prompt="Enter a score from 0 to 1" showErrorMessage="1" sqref="H19:J22">
      <formula1>0</formula1>
      <formula2>1</formula2>
    </dataValidation>
    <dataValidation type="decimal" allowBlank="1" showInputMessage="1" prompt="Enter a score from 0 to 1" showErrorMessage="1" sqref="H24:J25">
      <formula1>0</formula1>
      <formula2>1</formula2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Staff Register</vt:lpstr>
      <vt:lpstr>00001 Ifeoma Mbonu</vt:lpstr>
      <vt:lpstr>00002 Precious Iyersehen</vt:lpstr>
      <vt:lpstr>00003 Oladotun Shola Adido</vt:lpstr>
      <vt:lpstr>00005 Tobiloba Dada</vt:lpstr>
      <vt:lpstr>00006 Tochukwu Ifeanyi</vt:lpstr>
      <vt:lpstr>00009 Emmanuel Aneke</vt:lpstr>
      <vt:lpstr>00010 Cynthia Osakunih</vt:lpstr>
      <vt:lpstr>00011 John Ojelola</vt:lpstr>
      <vt:lpstr>00012 Bassey Ekpe</vt:lpstr>
      <vt:lpstr>00013 Aaron Agama</vt:lpstr>
      <vt:lpstr>00014 Abubakar Mohammed</vt:lpstr>
      <vt:lpstr>00016 Bode Oluwasanmi</vt:lpstr>
      <vt:lpstr>00017 Gideon Ekom</vt:lpstr>
      <vt:lpstr>00018 Adaeze Chike</vt:lpstr>
      <vt:lpstr>00019 Chinyere Elechi</vt:lpstr>
      <vt:lpstr>00020 David Idowu-Agida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2026-09-11T15:45:26Z</dcterms:created>
  <dcterms:modified xsi:type="dcterms:W3CDTF">2026-10-22T06:02:09Z</dcterms:modified>
</cp:coreProperties>
</file>